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dresobregon/Desktop/CHAT BOT/"/>
    </mc:Choice>
  </mc:AlternateContent>
  <xr:revisionPtr revIDLastSave="0" documentId="8_{FA03F024-03CB-FE4A-A2FB-11CDC5D10B3A}" xr6:coauthVersionLast="47" xr6:coauthVersionMax="47" xr10:uidLastSave="{00000000-0000-0000-0000-000000000000}"/>
  <bookViews>
    <workbookView xWindow="2260" yWindow="760" windowWidth="23420" windowHeight="16960" activeTab="1" xr2:uid="{C62870AC-E55D-3C4B-A916-C4FA7C5212B4}"/>
  </bookViews>
  <sheets>
    <sheet name="CARTAGENA PESOS" sheetId="1" r:id="rId1"/>
    <sheet name="CARTAGENA DOLARES" sheetId="5" r:id="rId2"/>
    <sheet name="ISLA PESOS" sheetId="3" r:id="rId3"/>
    <sheet name="ISLA DOLARES" sheetId="6" r:id="rId4"/>
    <sheet name="ROVERD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5" l="1"/>
  <c r="F9" i="5"/>
  <c r="D24" i="8"/>
  <c r="D23" i="8"/>
  <c r="F7" i="8" l="1"/>
  <c r="E30" i="1" l="1"/>
  <c r="E29" i="1"/>
  <c r="E25" i="1"/>
  <c r="E24" i="1"/>
  <c r="E23" i="1"/>
  <c r="E22" i="1"/>
  <c r="E30" i="5"/>
  <c r="E29" i="5"/>
  <c r="E25" i="5"/>
  <c r="E24" i="5"/>
  <c r="E23" i="5"/>
  <c r="E22" i="5"/>
  <c r="E21" i="5"/>
  <c r="E21" i="1" l="1"/>
  <c r="E16" i="1"/>
  <c r="E15" i="1"/>
  <c r="E14" i="1"/>
  <c r="E13" i="1"/>
  <c r="F39" i="5"/>
  <c r="F38" i="5"/>
  <c r="F37" i="5"/>
  <c r="F36" i="5"/>
  <c r="F35" i="5"/>
  <c r="F34" i="5"/>
  <c r="F33" i="5"/>
  <c r="F44" i="6" l="1"/>
  <c r="F43" i="6"/>
  <c r="F42" i="6"/>
  <c r="F41" i="6"/>
  <c r="F40" i="6"/>
  <c r="F39" i="6"/>
  <c r="F38" i="6"/>
  <c r="F35" i="6"/>
  <c r="F34" i="6"/>
  <c r="F33" i="6"/>
  <c r="F30" i="6"/>
  <c r="F29" i="6"/>
  <c r="F28" i="6"/>
  <c r="F27" i="6"/>
  <c r="F26" i="6"/>
  <c r="F25" i="6"/>
  <c r="F24" i="6"/>
  <c r="F21" i="6"/>
  <c r="F20" i="6"/>
  <c r="F19" i="6"/>
  <c r="F18" i="6"/>
  <c r="F17" i="6"/>
  <c r="F16" i="6"/>
  <c r="F15" i="6"/>
  <c r="F12" i="6"/>
  <c r="F11" i="6"/>
  <c r="F10" i="6"/>
  <c r="F9" i="6"/>
  <c r="F8" i="6"/>
  <c r="F7" i="6"/>
  <c r="F6" i="6"/>
</calcChain>
</file>

<file path=xl/sharedStrings.xml><?xml version="1.0" encoding="utf-8"?>
<sst xmlns="http://schemas.openxmlformats.org/spreadsheetml/2006/main" count="267" uniqueCount="78">
  <si>
    <t>PISCINA</t>
  </si>
  <si>
    <t># BUCEOS</t>
  </si>
  <si>
    <t>CURSOS DE BUCEO</t>
  </si>
  <si>
    <t>PAQUETES</t>
  </si>
  <si>
    <t>ALQUILER DE EQUIPO</t>
  </si>
  <si>
    <t>UNIDAD</t>
  </si>
  <si>
    <t>ACOMPAÑANTE</t>
  </si>
  <si>
    <t>N/A</t>
  </si>
  <si>
    <t>CURSO DE RESCATE Y PRIMEROS AUXILIOS</t>
  </si>
  <si>
    <t>SERVICIOS DE BUCEO Y SNORKEL</t>
  </si>
  <si>
    <t>ESPECIALIDAD 2 BUCEOS</t>
  </si>
  <si>
    <t>ESPECIALIDAD 4 BUCEOS</t>
  </si>
  <si>
    <t>ESPECIALIDAD 3 BUCEOS</t>
  </si>
  <si>
    <t>REFERIDO</t>
  </si>
  <si>
    <t>CHALECO (BCD)</t>
  </si>
  <si>
    <t>REGULADOR</t>
  </si>
  <si>
    <t>TANQUE</t>
  </si>
  <si>
    <t>CINTURON DE PESAS</t>
  </si>
  <si>
    <t>CARETA + SNORKEL</t>
  </si>
  <si>
    <t>ALETAS</t>
  </si>
  <si>
    <t>CARETA + SNORKEL + ALETAS</t>
  </si>
  <si>
    <t>PAQUETE 4 BUCEOS (4 DIURNAS)</t>
  </si>
  <si>
    <t>MINICURSO O REFRESH</t>
  </si>
  <si>
    <t>PAQUETE 5 BUCEOS (4 DIURNAS - 1 NOCTURNO)</t>
  </si>
  <si>
    <t>PAQUETE 7 BUCEOS (6 DIURNAS - 1 NOCTURNO)</t>
  </si>
  <si>
    <t>PAQUETE 9 BUCEOS (8 DIURNAS - 1 NOCTURNO)</t>
  </si>
  <si>
    <t xml:space="preserve">CURSO OPEN WATER DIVER </t>
  </si>
  <si>
    <t xml:space="preserve">CURSO AVANZADO </t>
  </si>
  <si>
    <t>CURSO SCUBA DIVER</t>
  </si>
  <si>
    <t>CURSO SCUBA DIVER A OPEN WATER</t>
  </si>
  <si>
    <t xml:space="preserve">COMPLETAR E-LEARNING </t>
  </si>
  <si>
    <t>CURSO DE ESPECIALIDADES</t>
  </si>
  <si>
    <t>SNORKEL DOBLE</t>
  </si>
  <si>
    <t>BUZO QUE TIENE EQUIPO PROPIO SE LE DESCUENTAN $33.000 POR DIA</t>
  </si>
  <si>
    <t>BUZO CERTIFICADO SENCILLO</t>
  </si>
  <si>
    <t>BUZO CERTIFICADO DOBLE</t>
  </si>
  <si>
    <t>SNORKEL SENSCILLO</t>
  </si>
  <si>
    <t>BUCEO NOCTURNO</t>
  </si>
  <si>
    <t>PAQUETE 3 BUCEOS (2 DIURNOS UN NOCTURNO)</t>
  </si>
  <si>
    <t>PAQUETE 4 BUCEOS (3 DIURNOS UN NOCTURNO)</t>
  </si>
  <si>
    <t>BUCEO ADICIONAL AL PLAN</t>
  </si>
  <si>
    <t>SNORKEL NOCTURNO</t>
  </si>
  <si>
    <t>COLOMBIANOS</t>
  </si>
  <si>
    <t>EXTRANJEROS</t>
  </si>
  <si>
    <t>COL. PLENA</t>
  </si>
  <si>
    <t>COL. DESCUENTO</t>
  </si>
  <si>
    <t>BUZO QUE TIENE EQUIPO PROPIO SE LE DESCUENTAN $35.000 POR DIA</t>
  </si>
  <si>
    <t>PAQUETE 3 BUCEOS (2 DIURNAS 1 NOCTURNO)</t>
  </si>
  <si>
    <t>INSGTRUCTOR PRIVADO 380.000</t>
  </si>
  <si>
    <t xml:space="preserve">TARIFA PLENA </t>
  </si>
  <si>
    <t>CON DESCUENTO</t>
  </si>
  <si>
    <t>TARIFA PLENA</t>
  </si>
  <si>
    <t>TARIFAS 2026 EN DÓLARES DESDE CARTAGENA</t>
  </si>
  <si>
    <t>TARIFAS 2026 EN PESOS DESDE CARTAGENA</t>
  </si>
  <si>
    <t xml:space="preserve">TARIFAS 2026 EN PESOS DESDE COCOLISO Y OTROS HOTELS ISLAS </t>
  </si>
  <si>
    <t>NORMAL DESDE CARTAGENA</t>
  </si>
  <si>
    <t>ROVERD DESDE CARTAGENA</t>
  </si>
  <si>
    <t>NORMAL DESDE LA ISLA</t>
  </si>
  <si>
    <t>ROVERD DESDE LA ISLA</t>
  </si>
  <si>
    <t>Fun Dives</t>
  </si>
  <si>
    <t>Mini Course</t>
  </si>
  <si>
    <t>Snorkeling</t>
  </si>
  <si>
    <t>Companion</t>
  </si>
  <si>
    <t>Basic Course</t>
  </si>
  <si>
    <t>Advance Course</t>
  </si>
  <si>
    <t>Rescue Course</t>
  </si>
  <si>
    <t>Package 5</t>
  </si>
  <si>
    <t>Package 7</t>
  </si>
  <si>
    <t>Package 9</t>
  </si>
  <si>
    <t>Mindful Diving</t>
  </si>
  <si>
    <t>Naturalist</t>
  </si>
  <si>
    <t>Fish ID</t>
  </si>
  <si>
    <t>Bouyancy</t>
  </si>
  <si>
    <t>Nitrox</t>
  </si>
  <si>
    <t>Package 3</t>
  </si>
  <si>
    <t>PRICES 2026</t>
  </si>
  <si>
    <t>Referral / MINDFUL</t>
  </si>
  <si>
    <t xml:space="preserve">TARIFAS 2026 DESDE LAS ISLAS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</si>
</sst>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_-;\-&quot;$&quot;* #,##0_-;_-&quot;$&quot;* &quot;-&quot;_-;_-@_-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3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5" fillId="2" borderId="0" xfId="0" applyFont="1" applyFill="1" applyAlignment="1">
      <alignment horizontal="center"/>
    </xf>
    <xf numFmtId="0" fontId="4" fillId="2" borderId="0" xfId="0" applyFont="1" applyFill="1"/>
    <xf numFmtId="164" fontId="0" fillId="2" borderId="0" xfId="1" applyFont="1" applyFill="1"/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4" fillId="2" borderId="0" xfId="1" applyFont="1" applyFill="1" applyAlignment="1">
      <alignment horizontal="center" vertical="center"/>
    </xf>
    <xf numFmtId="164" fontId="4" fillId="2" borderId="0" xfId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2" borderId="0" xfId="1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 wrapText="1"/>
    </xf>
    <xf numFmtId="3" fontId="4" fillId="2" borderId="1" xfId="1" applyNumberFormat="1" applyFont="1" applyFill="1" applyBorder="1" applyAlignment="1">
      <alignment horizontal="center" vertical="center"/>
    </xf>
    <xf numFmtId="3" fontId="4" fillId="2" borderId="2" xfId="1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64" fontId="5" fillId="4" borderId="1" xfId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164" fontId="5" fillId="5" borderId="1" xfId="1" applyFont="1" applyFill="1" applyBorder="1" applyAlignment="1">
      <alignment horizontal="center" vertical="center"/>
    </xf>
    <xf numFmtId="3" fontId="7" fillId="6" borderId="1" xfId="0" applyNumberFormat="1" applyFont="1" applyFill="1" applyBorder="1" applyAlignment="1">
      <alignment horizontal="center" vertical="center"/>
    </xf>
    <xf numFmtId="3" fontId="7" fillId="6" borderId="2" xfId="0" applyNumberFormat="1" applyFont="1" applyFill="1" applyBorder="1" applyAlignment="1">
      <alignment horizontal="center" vertical="center"/>
    </xf>
    <xf numFmtId="3" fontId="4" fillId="2" borderId="0" xfId="0" applyNumberFormat="1" applyFont="1" applyFill="1"/>
    <xf numFmtId="0" fontId="5" fillId="2" borderId="0" xfId="0" applyFont="1" applyFill="1" applyAlignment="1">
      <alignment horizontal="right"/>
    </xf>
    <xf numFmtId="0" fontId="4" fillId="2" borderId="0" xfId="0" applyFont="1" applyFill="1" applyAlignment="1">
      <alignment horizontal="right"/>
    </xf>
    <xf numFmtId="164" fontId="4" fillId="2" borderId="0" xfId="1" applyFont="1" applyFill="1"/>
    <xf numFmtId="164" fontId="5" fillId="2" borderId="0" xfId="1" applyFont="1" applyFill="1" applyAlignment="1">
      <alignment horizontal="center"/>
    </xf>
    <xf numFmtId="164" fontId="3" fillId="2" borderId="0" xfId="1" applyFont="1" applyFill="1" applyAlignment="1">
      <alignment horizontal="center" vertical="center" wrapText="1"/>
    </xf>
    <xf numFmtId="164" fontId="4" fillId="2" borderId="1" xfId="1" applyFont="1" applyFill="1" applyBorder="1" applyAlignment="1">
      <alignment horizontal="center" vertical="center"/>
    </xf>
    <xf numFmtId="164" fontId="4" fillId="2" borderId="2" xfId="1" applyFont="1" applyFill="1" applyBorder="1" applyAlignment="1">
      <alignment horizontal="center" vertical="center"/>
    </xf>
    <xf numFmtId="164" fontId="4" fillId="2" borderId="0" xfId="0" applyNumberFormat="1" applyFont="1" applyFill="1"/>
    <xf numFmtId="164" fontId="2" fillId="2" borderId="0" xfId="1" applyFont="1" applyFill="1" applyAlignment="1">
      <alignment horizontal="center" vertical="center" wrapText="1"/>
    </xf>
    <xf numFmtId="0" fontId="0" fillId="2" borderId="2" xfId="0" applyFill="1" applyBorder="1" applyAlignment="1">
      <alignment wrapText="1"/>
    </xf>
    <xf numFmtId="0" fontId="0" fillId="2" borderId="0" xfId="0" applyFill="1" applyAlignment="1">
      <alignment wrapText="1"/>
    </xf>
    <xf numFmtId="0" fontId="0" fillId="2" borderId="1" xfId="0" applyFill="1" applyBorder="1"/>
    <xf numFmtId="164" fontId="5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DC5A8-446B-9541-A3CF-0C451A172DF2}">
  <dimension ref="B1:I41"/>
  <sheetViews>
    <sheetView zoomScale="75" zoomScaleNormal="182" workbookViewId="0">
      <selection activeCell="I7" sqref="I7"/>
    </sheetView>
  </sheetViews>
  <sheetFormatPr baseColWidth="10" defaultColWidth="10.83203125" defaultRowHeight="16" x14ac:dyDescent="0.2"/>
  <cols>
    <col min="1" max="1" width="4.83203125" style="1" customWidth="1"/>
    <col min="2" max="2" width="48.83203125" style="1" bestFit="1" customWidth="1"/>
    <col min="3" max="4" width="15.6640625" style="1" customWidth="1"/>
    <col min="5" max="5" width="17" style="4" customWidth="1"/>
    <col min="6" max="6" width="17.6640625" style="4" customWidth="1"/>
    <col min="7" max="7" width="10.83203125" style="1"/>
    <col min="8" max="8" width="18.33203125" style="4" bestFit="1" customWidth="1"/>
    <col min="9" max="9" width="18.33203125" style="1" bestFit="1" customWidth="1"/>
    <col min="10" max="16384" width="10.83203125" style="1"/>
  </cols>
  <sheetData>
    <row r="1" spans="2:9" ht="25" customHeight="1" x14ac:dyDescent="0.2"/>
    <row r="2" spans="2:9" ht="21" x14ac:dyDescent="0.2">
      <c r="B2" s="41" t="s">
        <v>53</v>
      </c>
      <c r="C2" s="42"/>
      <c r="D2" s="42"/>
      <c r="E2" s="42"/>
      <c r="F2" s="43"/>
    </row>
    <row r="3" spans="2:9" ht="3" customHeight="1" x14ac:dyDescent="0.2">
      <c r="B3" s="14"/>
      <c r="C3" s="14"/>
      <c r="D3" s="14"/>
      <c r="E3" s="29"/>
      <c r="F3" s="29"/>
    </row>
    <row r="4" spans="2:9" ht="3" customHeight="1" x14ac:dyDescent="0.2">
      <c r="B4" s="38"/>
      <c r="C4" s="38"/>
      <c r="D4" s="38"/>
      <c r="E4" s="38"/>
      <c r="F4" s="38"/>
    </row>
    <row r="5" spans="2:9" s="2" customFormat="1" ht="17" x14ac:dyDescent="0.2">
      <c r="B5" s="17" t="s">
        <v>9</v>
      </c>
      <c r="C5" s="17" t="s">
        <v>0</v>
      </c>
      <c r="D5" s="17" t="s">
        <v>1</v>
      </c>
      <c r="E5" s="18" t="s">
        <v>51</v>
      </c>
      <c r="F5" s="18" t="s">
        <v>50</v>
      </c>
      <c r="H5" s="28"/>
    </row>
    <row r="6" spans="2:9" s="3" customFormat="1" ht="17" x14ac:dyDescent="0.2">
      <c r="B6" s="12" t="s">
        <v>35</v>
      </c>
      <c r="C6" s="5">
        <v>0</v>
      </c>
      <c r="D6" s="5">
        <v>2</v>
      </c>
      <c r="E6" s="30">
        <v>700000</v>
      </c>
      <c r="F6" s="30">
        <v>630000</v>
      </c>
      <c r="H6" s="27"/>
      <c r="I6" s="32"/>
    </row>
    <row r="7" spans="2:9" s="3" customFormat="1" ht="17" x14ac:dyDescent="0.2">
      <c r="B7" s="12" t="s">
        <v>22</v>
      </c>
      <c r="C7" s="5">
        <v>1</v>
      </c>
      <c r="D7" s="5">
        <v>1</v>
      </c>
      <c r="E7" s="30">
        <v>727000</v>
      </c>
      <c r="F7" s="30">
        <v>655000</v>
      </c>
      <c r="H7" s="27"/>
      <c r="I7" s="32"/>
    </row>
    <row r="8" spans="2:9" s="3" customFormat="1" ht="17" x14ac:dyDescent="0.2">
      <c r="B8" s="12" t="s">
        <v>32</v>
      </c>
      <c r="C8" s="5">
        <v>0</v>
      </c>
      <c r="D8" s="5">
        <v>2</v>
      </c>
      <c r="E8" s="30">
        <v>497000</v>
      </c>
      <c r="F8" s="30">
        <v>448000</v>
      </c>
      <c r="H8" s="27"/>
      <c r="I8" s="32"/>
    </row>
    <row r="9" spans="2:9" s="3" customFormat="1" ht="17" x14ac:dyDescent="0.2">
      <c r="B9" s="12" t="s">
        <v>6</v>
      </c>
      <c r="C9" s="5" t="s">
        <v>7</v>
      </c>
      <c r="D9" s="5" t="s">
        <v>7</v>
      </c>
      <c r="E9" s="30">
        <v>320000</v>
      </c>
      <c r="F9" s="30">
        <v>288000</v>
      </c>
      <c r="H9" s="27"/>
      <c r="I9" s="32"/>
    </row>
    <row r="10" spans="2:9" s="3" customFormat="1" ht="6" customHeight="1" x14ac:dyDescent="0.2">
      <c r="B10" s="6"/>
      <c r="C10" s="6"/>
      <c r="D10" s="6"/>
      <c r="E10" s="7"/>
      <c r="F10" s="7"/>
      <c r="H10" s="27"/>
      <c r="I10" s="32"/>
    </row>
    <row r="11" spans="2:9" s="2" customFormat="1" ht="17" x14ac:dyDescent="0.2">
      <c r="B11" s="17" t="s">
        <v>3</v>
      </c>
      <c r="C11" s="17" t="s">
        <v>0</v>
      </c>
      <c r="D11" s="17" t="s">
        <v>1</v>
      </c>
      <c r="E11" s="18" t="s">
        <v>44</v>
      </c>
      <c r="F11" s="18" t="s">
        <v>45</v>
      </c>
      <c r="H11" s="28"/>
      <c r="I11" s="32"/>
    </row>
    <row r="12" spans="2:9" s="3" customFormat="1" ht="17" x14ac:dyDescent="0.2">
      <c r="B12" s="12" t="s">
        <v>47</v>
      </c>
      <c r="C12" s="5">
        <v>0</v>
      </c>
      <c r="D12" s="5">
        <v>3</v>
      </c>
      <c r="E12" s="30">
        <v>1130000</v>
      </c>
      <c r="F12" s="30">
        <v>1017000</v>
      </c>
      <c r="H12" s="27"/>
      <c r="I12" s="32"/>
    </row>
    <row r="13" spans="2:9" s="3" customFormat="1" ht="17" x14ac:dyDescent="0.2">
      <c r="B13" s="12" t="s">
        <v>21</v>
      </c>
      <c r="C13" s="5">
        <v>0</v>
      </c>
      <c r="D13" s="5">
        <v>4</v>
      </c>
      <c r="E13" s="30">
        <f>1240000+42000</f>
        <v>1282000</v>
      </c>
      <c r="F13" s="30">
        <v>1154000</v>
      </c>
      <c r="H13" s="27"/>
      <c r="I13" s="32"/>
    </row>
    <row r="14" spans="2:9" s="3" customFormat="1" ht="17" x14ac:dyDescent="0.2">
      <c r="B14" s="12" t="s">
        <v>23</v>
      </c>
      <c r="C14" s="5">
        <v>0</v>
      </c>
      <c r="D14" s="5">
        <v>5</v>
      </c>
      <c r="E14" s="30">
        <f>1545000+42000</f>
        <v>1587000</v>
      </c>
      <c r="F14" s="30">
        <v>1429000</v>
      </c>
      <c r="H14" s="27"/>
      <c r="I14" s="32"/>
    </row>
    <row r="15" spans="2:9" s="3" customFormat="1" ht="17" x14ac:dyDescent="0.2">
      <c r="B15" s="12" t="s">
        <v>24</v>
      </c>
      <c r="C15" s="5">
        <v>0</v>
      </c>
      <c r="D15" s="5">
        <v>7</v>
      </c>
      <c r="E15" s="30">
        <f>1975000+40000</f>
        <v>2015000</v>
      </c>
      <c r="F15" s="30">
        <v>1813000</v>
      </c>
      <c r="H15" s="27"/>
      <c r="I15" s="32"/>
    </row>
    <row r="16" spans="2:9" s="3" customFormat="1" ht="17" x14ac:dyDescent="0.2">
      <c r="B16" s="12" t="s">
        <v>25</v>
      </c>
      <c r="C16" s="5">
        <v>0</v>
      </c>
      <c r="D16" s="5">
        <v>9</v>
      </c>
      <c r="E16" s="30">
        <f>2370000+42000</f>
        <v>2412000</v>
      </c>
      <c r="F16" s="30">
        <v>2170000</v>
      </c>
      <c r="H16" s="27"/>
      <c r="I16" s="32"/>
    </row>
    <row r="17" spans="2:9" s="3" customFormat="1" ht="6" customHeight="1" x14ac:dyDescent="0.2">
      <c r="B17" s="6"/>
      <c r="C17" s="6"/>
      <c r="D17" s="6"/>
      <c r="E17" s="7"/>
      <c r="F17" s="8"/>
      <c r="H17" s="27"/>
      <c r="I17" s="32"/>
    </row>
    <row r="18" spans="2:9" s="2" customFormat="1" ht="17" x14ac:dyDescent="0.2">
      <c r="B18" s="17" t="s">
        <v>2</v>
      </c>
      <c r="C18" s="17" t="s">
        <v>0</v>
      </c>
      <c r="D18" s="17" t="s">
        <v>1</v>
      </c>
      <c r="E18" s="18" t="s">
        <v>44</v>
      </c>
      <c r="F18" s="18" t="s">
        <v>45</v>
      </c>
      <c r="H18" s="28"/>
      <c r="I18" s="32"/>
    </row>
    <row r="19" spans="2:9" s="2" customFormat="1" ht="17" x14ac:dyDescent="0.2">
      <c r="B19" s="12" t="s">
        <v>28</v>
      </c>
      <c r="C19" s="5">
        <v>1</v>
      </c>
      <c r="D19" s="5">
        <v>2</v>
      </c>
      <c r="E19" s="30">
        <v>2190000</v>
      </c>
      <c r="F19" s="30">
        <v>1971000</v>
      </c>
      <c r="H19" s="32"/>
      <c r="I19" s="32"/>
    </row>
    <row r="20" spans="2:9" s="2" customFormat="1" ht="17" x14ac:dyDescent="0.2">
      <c r="B20" s="12" t="s">
        <v>29</v>
      </c>
      <c r="C20" s="5">
        <v>1</v>
      </c>
      <c r="D20" s="5">
        <v>2</v>
      </c>
      <c r="E20" s="30">
        <v>1470000</v>
      </c>
      <c r="F20" s="30">
        <v>1338000</v>
      </c>
      <c r="H20" s="32"/>
      <c r="I20" s="32"/>
    </row>
    <row r="21" spans="2:9" s="3" customFormat="1" ht="17" x14ac:dyDescent="0.2">
      <c r="B21" s="12" t="s">
        <v>26</v>
      </c>
      <c r="C21" s="5">
        <v>2</v>
      </c>
      <c r="D21" s="5">
        <v>4</v>
      </c>
      <c r="E21" s="30">
        <f>2680000+42000</f>
        <v>2722000</v>
      </c>
      <c r="F21" s="30">
        <v>2450000</v>
      </c>
      <c r="H21" s="32"/>
      <c r="I21" s="32"/>
    </row>
    <row r="22" spans="2:9" s="3" customFormat="1" ht="17" x14ac:dyDescent="0.2">
      <c r="B22" s="12" t="s">
        <v>27</v>
      </c>
      <c r="C22" s="5">
        <v>0</v>
      </c>
      <c r="D22" s="5">
        <v>5</v>
      </c>
      <c r="E22" s="30">
        <f>2375000+42000</f>
        <v>2417000</v>
      </c>
      <c r="F22" s="30">
        <v>2175000</v>
      </c>
      <c r="H22" s="32"/>
      <c r="I22" s="32"/>
    </row>
    <row r="23" spans="2:9" s="3" customFormat="1" ht="17" x14ac:dyDescent="0.2">
      <c r="B23" s="12" t="s">
        <v>8</v>
      </c>
      <c r="C23" s="5">
        <v>1</v>
      </c>
      <c r="D23" s="5">
        <v>2</v>
      </c>
      <c r="E23" s="30">
        <f>3115000+42000</f>
        <v>3157000</v>
      </c>
      <c r="F23" s="30">
        <v>2841000</v>
      </c>
      <c r="H23" s="32"/>
      <c r="I23" s="32"/>
    </row>
    <row r="24" spans="2:9" s="3" customFormat="1" ht="17" x14ac:dyDescent="0.2">
      <c r="B24" s="12" t="s">
        <v>30</v>
      </c>
      <c r="C24" s="5">
        <v>2</v>
      </c>
      <c r="D24" s="5">
        <v>4</v>
      </c>
      <c r="E24" s="30">
        <f>1945000+42000</f>
        <v>1987000</v>
      </c>
      <c r="F24" s="30">
        <v>1788000</v>
      </c>
      <c r="H24" s="32"/>
      <c r="I24" s="32"/>
    </row>
    <row r="25" spans="2:9" s="3" customFormat="1" ht="17" x14ac:dyDescent="0.2">
      <c r="B25" s="12" t="s">
        <v>13</v>
      </c>
      <c r="C25" s="5">
        <v>0</v>
      </c>
      <c r="D25" s="5">
        <v>4</v>
      </c>
      <c r="E25" s="30">
        <f>1825000+42000</f>
        <v>1867000</v>
      </c>
      <c r="F25" s="30">
        <v>1680000</v>
      </c>
      <c r="H25" s="32"/>
      <c r="I25" s="32"/>
    </row>
    <row r="26" spans="2:9" s="3" customFormat="1" ht="6" customHeight="1" x14ac:dyDescent="0.2">
      <c r="B26" s="6"/>
      <c r="C26" s="6"/>
      <c r="D26" s="6"/>
      <c r="E26" s="7"/>
      <c r="F26" s="7"/>
      <c r="H26" s="27"/>
      <c r="I26" s="32"/>
    </row>
    <row r="27" spans="2:9" s="3" customFormat="1" ht="17" x14ac:dyDescent="0.2">
      <c r="B27" s="17" t="s">
        <v>31</v>
      </c>
      <c r="C27" s="17" t="s">
        <v>7</v>
      </c>
      <c r="D27" s="17" t="s">
        <v>1</v>
      </c>
      <c r="E27" s="18" t="s">
        <v>44</v>
      </c>
      <c r="F27" s="18" t="s">
        <v>45</v>
      </c>
      <c r="H27" s="27"/>
      <c r="I27" s="32"/>
    </row>
    <row r="28" spans="2:9" s="3" customFormat="1" ht="17" x14ac:dyDescent="0.2">
      <c r="B28" s="13" t="s">
        <v>10</v>
      </c>
      <c r="C28" s="9">
        <v>0</v>
      </c>
      <c r="D28" s="9">
        <v>2</v>
      </c>
      <c r="E28" s="31">
        <v>1650000</v>
      </c>
      <c r="F28" s="30">
        <v>1485000</v>
      </c>
      <c r="H28" s="27"/>
      <c r="I28" s="32"/>
    </row>
    <row r="29" spans="2:9" s="3" customFormat="1" ht="17" x14ac:dyDescent="0.2">
      <c r="B29" s="12" t="s">
        <v>12</v>
      </c>
      <c r="C29" s="5">
        <v>0</v>
      </c>
      <c r="D29" s="5">
        <v>3</v>
      </c>
      <c r="E29" s="30">
        <f>1965000+42000</f>
        <v>2007000</v>
      </c>
      <c r="F29" s="30">
        <v>1806000</v>
      </c>
      <c r="H29" s="27"/>
      <c r="I29" s="32"/>
    </row>
    <row r="30" spans="2:9" s="3" customFormat="1" ht="17" x14ac:dyDescent="0.2">
      <c r="B30" s="12" t="s">
        <v>11</v>
      </c>
      <c r="C30" s="5">
        <v>0</v>
      </c>
      <c r="D30" s="5">
        <v>4</v>
      </c>
      <c r="E30" s="30">
        <f>2375000+42000</f>
        <v>2417000</v>
      </c>
      <c r="F30" s="30">
        <v>2175000</v>
      </c>
      <c r="H30" s="27"/>
      <c r="I30" s="32"/>
    </row>
    <row r="31" spans="2:9" s="3" customFormat="1" ht="6" customHeight="1" x14ac:dyDescent="0.2">
      <c r="B31" s="6"/>
      <c r="C31" s="6"/>
      <c r="D31" s="6"/>
      <c r="E31" s="7"/>
      <c r="F31" s="7"/>
      <c r="H31" s="27"/>
      <c r="I31" s="32"/>
    </row>
    <row r="32" spans="2:9" s="2" customFormat="1" ht="17" x14ac:dyDescent="0.2">
      <c r="B32" s="17" t="s">
        <v>4</v>
      </c>
      <c r="C32" s="17" t="s">
        <v>7</v>
      </c>
      <c r="D32" s="17" t="s">
        <v>5</v>
      </c>
      <c r="E32" s="18" t="s">
        <v>44</v>
      </c>
      <c r="F32" s="18" t="s">
        <v>45</v>
      </c>
      <c r="H32" s="28"/>
    </row>
    <row r="33" spans="2:8" s="3" customFormat="1" ht="17" x14ac:dyDescent="0.2">
      <c r="B33" s="12" t="s">
        <v>14</v>
      </c>
      <c r="C33" s="5" t="s">
        <v>7</v>
      </c>
      <c r="D33" s="5">
        <v>1</v>
      </c>
      <c r="E33" s="30">
        <v>89000</v>
      </c>
      <c r="F33" s="30">
        <v>80000</v>
      </c>
      <c r="H33" s="27"/>
    </row>
    <row r="34" spans="2:8" s="3" customFormat="1" ht="17" x14ac:dyDescent="0.2">
      <c r="B34" s="12" t="s">
        <v>15</v>
      </c>
      <c r="C34" s="5" t="s">
        <v>7</v>
      </c>
      <c r="D34" s="5">
        <v>1</v>
      </c>
      <c r="E34" s="30">
        <v>89000</v>
      </c>
      <c r="F34" s="30">
        <v>80000</v>
      </c>
      <c r="H34" s="27"/>
    </row>
    <row r="35" spans="2:8" s="3" customFormat="1" ht="17" x14ac:dyDescent="0.2">
      <c r="B35" s="12" t="s">
        <v>16</v>
      </c>
      <c r="C35" s="5" t="s">
        <v>7</v>
      </c>
      <c r="D35" s="5">
        <v>1</v>
      </c>
      <c r="E35" s="30">
        <v>89000</v>
      </c>
      <c r="F35" s="30">
        <v>80000</v>
      </c>
      <c r="H35" s="27"/>
    </row>
    <row r="36" spans="2:8" s="3" customFormat="1" ht="17" x14ac:dyDescent="0.2">
      <c r="B36" s="12" t="s">
        <v>17</v>
      </c>
      <c r="C36" s="5" t="s">
        <v>7</v>
      </c>
      <c r="D36" s="5">
        <v>1</v>
      </c>
      <c r="E36" s="30">
        <v>30000</v>
      </c>
      <c r="F36" s="30">
        <v>27000</v>
      </c>
      <c r="H36" s="27"/>
    </row>
    <row r="37" spans="2:8" s="3" customFormat="1" ht="17" x14ac:dyDescent="0.2">
      <c r="B37" s="12" t="s">
        <v>18</v>
      </c>
      <c r="C37" s="5" t="s">
        <v>7</v>
      </c>
      <c r="D37" s="5">
        <v>1</v>
      </c>
      <c r="E37" s="30">
        <v>55000</v>
      </c>
      <c r="F37" s="30">
        <v>50000</v>
      </c>
      <c r="H37" s="27"/>
    </row>
    <row r="38" spans="2:8" s="3" customFormat="1" ht="17" x14ac:dyDescent="0.2">
      <c r="B38" s="12" t="s">
        <v>19</v>
      </c>
      <c r="C38" s="5" t="s">
        <v>7</v>
      </c>
      <c r="D38" s="5">
        <v>1</v>
      </c>
      <c r="E38" s="30">
        <v>55000</v>
      </c>
      <c r="F38" s="30">
        <v>50000</v>
      </c>
      <c r="H38" s="27"/>
    </row>
    <row r="39" spans="2:8" s="3" customFormat="1" ht="17" x14ac:dyDescent="0.2">
      <c r="B39" s="12" t="s">
        <v>20</v>
      </c>
      <c r="C39" s="5" t="s">
        <v>7</v>
      </c>
      <c r="D39" s="5">
        <v>1</v>
      </c>
      <c r="E39" s="30">
        <v>100000</v>
      </c>
      <c r="F39" s="30">
        <v>90000</v>
      </c>
      <c r="H39" s="27"/>
    </row>
    <row r="40" spans="2:8" ht="6" customHeight="1" x14ac:dyDescent="0.2">
      <c r="B40" s="10"/>
      <c r="C40" s="10"/>
      <c r="D40" s="10"/>
      <c r="E40" s="11"/>
      <c r="F40" s="11"/>
    </row>
    <row r="41" spans="2:8" ht="21" customHeight="1" x14ac:dyDescent="0.2">
      <c r="B41" s="40" t="s">
        <v>33</v>
      </c>
      <c r="C41" s="40"/>
      <c r="D41" s="40"/>
      <c r="E41" s="40"/>
      <c r="F41" s="40"/>
    </row>
  </sheetData>
  <mergeCells count="3">
    <mergeCell ref="B2:F2"/>
    <mergeCell ref="B4:F4"/>
    <mergeCell ref="B41:F41"/>
  </mergeCells>
  <pageMargins left="0.25" right="0.25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320C-8704-F54E-9910-D65E4097E940}">
  <dimension ref="B2:L43"/>
  <sheetViews>
    <sheetView tabSelected="1" zoomScale="60" workbookViewId="0">
      <selection activeCell="I31" sqref="I31"/>
    </sheetView>
  </sheetViews>
  <sheetFormatPr baseColWidth="10" defaultColWidth="10.83203125" defaultRowHeight="16" x14ac:dyDescent="0.2"/>
  <cols>
    <col min="1" max="1" width="4.83203125" style="1" customWidth="1"/>
    <col min="2" max="2" width="48.83203125" style="1" bestFit="1" customWidth="1"/>
    <col min="3" max="4" width="15.6640625" style="1" customWidth="1"/>
    <col min="5" max="5" width="17.1640625" style="4" customWidth="1"/>
    <col min="6" max="6" width="16.83203125" style="4" customWidth="1"/>
    <col min="7" max="7" width="12.83203125" style="4" bestFit="1" customWidth="1"/>
    <col min="8" max="8" width="17" style="1" customWidth="1"/>
    <col min="9" max="16384" width="10.83203125" style="1"/>
  </cols>
  <sheetData>
    <row r="2" spans="2:8" ht="24" customHeight="1" x14ac:dyDescent="0.2">
      <c r="B2" s="39" t="s">
        <v>52</v>
      </c>
      <c r="C2" s="39"/>
      <c r="D2" s="39"/>
      <c r="E2" s="39"/>
      <c r="F2" s="39"/>
    </row>
    <row r="3" spans="2:8" ht="3" customHeight="1" x14ac:dyDescent="0.2">
      <c r="B3" s="14"/>
      <c r="C3" s="14"/>
      <c r="D3" s="14"/>
      <c r="E3" s="29"/>
      <c r="F3" s="29"/>
    </row>
    <row r="4" spans="2:8" ht="3" customHeight="1" x14ac:dyDescent="0.2">
      <c r="B4" s="38"/>
      <c r="C4" s="38"/>
      <c r="D4" s="38"/>
      <c r="E4" s="33"/>
      <c r="F4" s="33"/>
    </row>
    <row r="5" spans="2:8" s="2" customFormat="1" ht="17" x14ac:dyDescent="0.2">
      <c r="B5" s="17" t="s">
        <v>9</v>
      </c>
      <c r="C5" s="17" t="s">
        <v>0</v>
      </c>
      <c r="D5" s="17" t="s">
        <v>1</v>
      </c>
      <c r="E5" s="18" t="s">
        <v>51</v>
      </c>
      <c r="F5" s="18" t="s">
        <v>50</v>
      </c>
      <c r="G5" s="28"/>
    </row>
    <row r="6" spans="2:8" s="3" customFormat="1" ht="17" x14ac:dyDescent="0.2">
      <c r="B6" s="12" t="s">
        <v>35</v>
      </c>
      <c r="C6" s="5">
        <v>0</v>
      </c>
      <c r="D6" s="5">
        <v>2</v>
      </c>
      <c r="E6" s="30">
        <v>197.29</v>
      </c>
      <c r="F6" s="30">
        <v>178</v>
      </c>
      <c r="G6" s="27"/>
      <c r="H6" s="32"/>
    </row>
    <row r="7" spans="2:8" s="3" customFormat="1" ht="17" x14ac:dyDescent="0.2">
      <c r="B7" s="12" t="s">
        <v>22</v>
      </c>
      <c r="C7" s="5">
        <v>1</v>
      </c>
      <c r="D7" s="5">
        <v>1</v>
      </c>
      <c r="E7" s="30">
        <v>203.82999999999998</v>
      </c>
      <c r="F7" s="30">
        <v>183</v>
      </c>
      <c r="G7" s="27"/>
      <c r="H7" s="32"/>
    </row>
    <row r="8" spans="2:8" s="3" customFormat="1" ht="17" x14ac:dyDescent="0.2">
      <c r="B8" s="12" t="s">
        <v>32</v>
      </c>
      <c r="C8" s="5">
        <v>0</v>
      </c>
      <c r="D8" s="5">
        <v>2</v>
      </c>
      <c r="E8" s="30">
        <v>139.52000000000001</v>
      </c>
      <c r="F8" s="30">
        <f>+E8-(E8*10%)</f>
        <v>125.56800000000001</v>
      </c>
      <c r="G8" s="27"/>
      <c r="H8" s="32"/>
    </row>
    <row r="9" spans="2:8" s="3" customFormat="1" ht="17" x14ac:dyDescent="0.2">
      <c r="B9" s="12" t="s">
        <v>6</v>
      </c>
      <c r="C9" s="5" t="s">
        <v>7</v>
      </c>
      <c r="D9" s="5" t="s">
        <v>7</v>
      </c>
      <c r="E9" s="30">
        <v>89.38</v>
      </c>
      <c r="F9" s="30">
        <f>+E9-(E9*10%)</f>
        <v>80.441999999999993</v>
      </c>
      <c r="G9" s="27"/>
      <c r="H9" s="32"/>
    </row>
    <row r="10" spans="2:8" s="3" customFormat="1" ht="6" customHeight="1" x14ac:dyDescent="0.2">
      <c r="B10" s="6"/>
      <c r="C10" s="6"/>
      <c r="D10" s="6"/>
      <c r="E10" s="7"/>
      <c r="F10" s="7"/>
      <c r="G10" s="27"/>
      <c r="H10" s="32"/>
    </row>
    <row r="11" spans="2:8" s="2" customFormat="1" ht="17" x14ac:dyDescent="0.2">
      <c r="B11" s="17" t="s">
        <v>3</v>
      </c>
      <c r="C11" s="17" t="s">
        <v>0</v>
      </c>
      <c r="D11" s="17" t="s">
        <v>1</v>
      </c>
      <c r="E11" s="18"/>
      <c r="F11" s="18"/>
      <c r="G11" s="27"/>
      <c r="H11" s="32"/>
    </row>
    <row r="12" spans="2:8" s="3" customFormat="1" ht="17" x14ac:dyDescent="0.2">
      <c r="B12" s="12" t="s">
        <v>47</v>
      </c>
      <c r="C12" s="5">
        <v>0</v>
      </c>
      <c r="D12" s="5">
        <v>3</v>
      </c>
      <c r="E12" s="30">
        <v>319.37</v>
      </c>
      <c r="F12" s="30">
        <v>287</v>
      </c>
      <c r="G12" s="27"/>
      <c r="H12" s="32"/>
    </row>
    <row r="13" spans="2:8" s="3" customFormat="1" ht="17" x14ac:dyDescent="0.2">
      <c r="B13" s="12" t="s">
        <v>21</v>
      </c>
      <c r="C13" s="5">
        <v>0</v>
      </c>
      <c r="D13" s="5">
        <v>4</v>
      </c>
      <c r="E13" s="30">
        <v>350.98</v>
      </c>
      <c r="F13" s="30">
        <v>316</v>
      </c>
      <c r="G13" s="27"/>
      <c r="H13" s="32"/>
    </row>
    <row r="14" spans="2:8" s="3" customFormat="1" ht="17" x14ac:dyDescent="0.2">
      <c r="B14" s="12" t="s">
        <v>23</v>
      </c>
      <c r="C14" s="5">
        <v>0</v>
      </c>
      <c r="D14" s="5">
        <v>5</v>
      </c>
      <c r="E14" s="30">
        <v>436</v>
      </c>
      <c r="F14" s="30">
        <v>392</v>
      </c>
      <c r="G14" s="27"/>
      <c r="H14" s="32"/>
    </row>
    <row r="15" spans="2:8" s="3" customFormat="1" ht="17" x14ac:dyDescent="0.2">
      <c r="B15" s="12" t="s">
        <v>24</v>
      </c>
      <c r="C15" s="5">
        <v>0</v>
      </c>
      <c r="D15" s="5">
        <v>7</v>
      </c>
      <c r="E15" s="30">
        <v>558.08000000000004</v>
      </c>
      <c r="F15" s="30">
        <v>503</v>
      </c>
      <c r="G15" s="27"/>
      <c r="H15" s="32"/>
    </row>
    <row r="16" spans="2:8" s="3" customFormat="1" ht="17" x14ac:dyDescent="0.2">
      <c r="B16" s="12" t="s">
        <v>25</v>
      </c>
      <c r="C16" s="5">
        <v>0</v>
      </c>
      <c r="D16" s="5">
        <v>9</v>
      </c>
      <c r="E16" s="30">
        <v>668.17</v>
      </c>
      <c r="F16" s="30">
        <v>602</v>
      </c>
      <c r="G16" s="27"/>
      <c r="H16" s="32"/>
    </row>
    <row r="17" spans="2:12" s="3" customFormat="1" ht="6" customHeight="1" x14ac:dyDescent="0.2">
      <c r="B17" s="6"/>
      <c r="C17" s="6"/>
      <c r="D17" s="6"/>
      <c r="E17" s="7"/>
      <c r="F17" s="8"/>
      <c r="G17" s="27"/>
      <c r="H17" s="32"/>
    </row>
    <row r="18" spans="2:12" s="2" customFormat="1" ht="17" x14ac:dyDescent="0.2">
      <c r="B18" s="17" t="s">
        <v>2</v>
      </c>
      <c r="C18" s="17" t="s">
        <v>0</v>
      </c>
      <c r="D18" s="17" t="s">
        <v>1</v>
      </c>
      <c r="E18" s="18"/>
      <c r="F18" s="18"/>
      <c r="G18" s="27"/>
      <c r="H18" s="32"/>
    </row>
    <row r="19" spans="2:12" s="2" customFormat="1" ht="17" x14ac:dyDescent="0.2">
      <c r="B19" s="12" t="s">
        <v>28</v>
      </c>
      <c r="C19" s="5">
        <v>1</v>
      </c>
      <c r="D19" s="5">
        <v>2</v>
      </c>
      <c r="E19" s="30">
        <v>619.12</v>
      </c>
      <c r="F19" s="30">
        <v>557</v>
      </c>
      <c r="G19" s="27"/>
      <c r="H19" s="32"/>
      <c r="L19" s="37"/>
    </row>
    <row r="20" spans="2:12" s="2" customFormat="1" ht="17" x14ac:dyDescent="0.2">
      <c r="B20" s="12" t="s">
        <v>29</v>
      </c>
      <c r="C20" s="5">
        <v>1</v>
      </c>
      <c r="D20" s="5">
        <v>2</v>
      </c>
      <c r="E20" s="30">
        <v>419.65</v>
      </c>
      <c r="F20" s="30">
        <v>378</v>
      </c>
      <c r="G20" s="27"/>
      <c r="H20" s="32"/>
    </row>
    <row r="21" spans="2:12" s="3" customFormat="1" ht="17" x14ac:dyDescent="0.2">
      <c r="B21" s="12" t="s">
        <v>26</v>
      </c>
      <c r="C21" s="5">
        <v>2</v>
      </c>
      <c r="D21" s="5">
        <v>4</v>
      </c>
      <c r="E21" s="30">
        <f>757.55+12</f>
        <v>769.55</v>
      </c>
      <c r="F21" s="30">
        <v>693</v>
      </c>
      <c r="G21" s="27"/>
      <c r="H21" s="32"/>
    </row>
    <row r="22" spans="2:12" s="3" customFormat="1" ht="17" x14ac:dyDescent="0.2">
      <c r="B22" s="12" t="s">
        <v>27</v>
      </c>
      <c r="C22" s="5">
        <v>0</v>
      </c>
      <c r="D22" s="5">
        <v>5</v>
      </c>
      <c r="E22" s="30">
        <f>672.53+12</f>
        <v>684.53</v>
      </c>
      <c r="F22" s="30">
        <v>616</v>
      </c>
      <c r="G22" s="27"/>
      <c r="H22" s="32"/>
    </row>
    <row r="23" spans="2:12" s="3" customFormat="1" ht="17" x14ac:dyDescent="0.2">
      <c r="B23" s="12" t="s">
        <v>8</v>
      </c>
      <c r="C23" s="5">
        <v>1</v>
      </c>
      <c r="D23" s="5">
        <v>2</v>
      </c>
      <c r="E23" s="30">
        <f>872+12</f>
        <v>884</v>
      </c>
      <c r="F23" s="30">
        <v>796</v>
      </c>
      <c r="G23" s="27"/>
      <c r="H23" s="32"/>
    </row>
    <row r="24" spans="2:12" s="3" customFormat="1" ht="17" x14ac:dyDescent="0.2">
      <c r="B24" s="12" t="s">
        <v>30</v>
      </c>
      <c r="C24" s="5">
        <v>2</v>
      </c>
      <c r="D24" s="5">
        <v>4</v>
      </c>
      <c r="E24" s="30">
        <f>549.36+12</f>
        <v>561.36</v>
      </c>
      <c r="F24" s="30">
        <v>505</v>
      </c>
      <c r="G24" s="27"/>
      <c r="H24" s="32"/>
    </row>
    <row r="25" spans="2:12" s="3" customFormat="1" ht="17" x14ac:dyDescent="0.2">
      <c r="B25" s="12" t="s">
        <v>13</v>
      </c>
      <c r="C25" s="5">
        <v>0</v>
      </c>
      <c r="D25" s="5">
        <v>4</v>
      </c>
      <c r="E25" s="30">
        <f>514.48+12</f>
        <v>526.48</v>
      </c>
      <c r="F25" s="30">
        <v>474</v>
      </c>
      <c r="G25" s="27"/>
      <c r="H25" s="32"/>
    </row>
    <row r="26" spans="2:12" s="3" customFormat="1" ht="6" customHeight="1" x14ac:dyDescent="0.2">
      <c r="B26" s="6"/>
      <c r="C26" s="6"/>
      <c r="D26" s="6"/>
      <c r="E26" s="7"/>
      <c r="F26" s="7"/>
      <c r="G26" s="27"/>
      <c r="H26" s="32"/>
    </row>
    <row r="27" spans="2:12" s="3" customFormat="1" ht="17" x14ac:dyDescent="0.2">
      <c r="B27" s="17" t="s">
        <v>31</v>
      </c>
      <c r="C27" s="17" t="s">
        <v>7</v>
      </c>
      <c r="D27" s="17" t="s">
        <v>1</v>
      </c>
      <c r="E27" s="18"/>
      <c r="F27" s="18"/>
      <c r="G27" s="27"/>
      <c r="H27" s="32"/>
    </row>
    <row r="28" spans="2:12" s="3" customFormat="1" ht="17" x14ac:dyDescent="0.2">
      <c r="B28" s="13" t="s">
        <v>10</v>
      </c>
      <c r="C28" s="9">
        <v>0</v>
      </c>
      <c r="D28" s="9">
        <v>2</v>
      </c>
      <c r="E28" s="30">
        <v>464.34</v>
      </c>
      <c r="F28" s="30">
        <v>418</v>
      </c>
      <c r="G28" s="27"/>
      <c r="H28" s="32"/>
    </row>
    <row r="29" spans="2:12" s="3" customFormat="1" ht="17" x14ac:dyDescent="0.2">
      <c r="B29" s="12" t="s">
        <v>12</v>
      </c>
      <c r="C29" s="5">
        <v>0</v>
      </c>
      <c r="D29" s="5">
        <v>3</v>
      </c>
      <c r="E29" s="30">
        <f>554.81+12</f>
        <v>566.80999999999995</v>
      </c>
      <c r="F29" s="30">
        <v>510</v>
      </c>
      <c r="G29" s="27"/>
      <c r="H29" s="32"/>
    </row>
    <row r="30" spans="2:12" s="3" customFormat="1" ht="17" x14ac:dyDescent="0.2">
      <c r="B30" s="12" t="s">
        <v>11</v>
      </c>
      <c r="C30" s="5">
        <v>0</v>
      </c>
      <c r="D30" s="5">
        <v>4</v>
      </c>
      <c r="E30" s="30">
        <f>672.53+12</f>
        <v>684.53</v>
      </c>
      <c r="F30" s="30">
        <v>616</v>
      </c>
      <c r="G30" s="27"/>
      <c r="H30" s="32"/>
    </row>
    <row r="31" spans="2:12" s="3" customFormat="1" ht="6" customHeight="1" x14ac:dyDescent="0.2">
      <c r="B31" s="6"/>
      <c r="C31" s="6"/>
      <c r="D31" s="6"/>
      <c r="E31" s="7"/>
      <c r="F31" s="7"/>
      <c r="G31" s="27"/>
      <c r="H31" s="32"/>
    </row>
    <row r="32" spans="2:12" s="2" customFormat="1" ht="17" x14ac:dyDescent="0.2">
      <c r="B32" s="17" t="s">
        <v>4</v>
      </c>
      <c r="C32" s="17" t="s">
        <v>7</v>
      </c>
      <c r="D32" s="17" t="s">
        <v>5</v>
      </c>
      <c r="E32" s="18"/>
      <c r="F32" s="18"/>
      <c r="G32" s="27"/>
      <c r="H32" s="32"/>
    </row>
    <row r="33" spans="2:8" s="3" customFormat="1" ht="17" x14ac:dyDescent="0.2">
      <c r="B33" s="12" t="s">
        <v>14</v>
      </c>
      <c r="C33" s="5" t="s">
        <v>7</v>
      </c>
      <c r="D33" s="5">
        <v>1</v>
      </c>
      <c r="E33" s="30">
        <v>23.98</v>
      </c>
      <c r="F33" s="30">
        <f t="shared" ref="F33:F39" si="0">+E33-(E33*10%)</f>
        <v>21.582000000000001</v>
      </c>
      <c r="G33" s="27"/>
      <c r="H33" s="32"/>
    </row>
    <row r="34" spans="2:8" s="3" customFormat="1" ht="17" x14ac:dyDescent="0.2">
      <c r="B34" s="12" t="s">
        <v>15</v>
      </c>
      <c r="C34" s="5" t="s">
        <v>7</v>
      </c>
      <c r="D34" s="5">
        <v>1</v>
      </c>
      <c r="E34" s="30">
        <v>23.98</v>
      </c>
      <c r="F34" s="30">
        <f t="shared" si="0"/>
        <v>21.582000000000001</v>
      </c>
      <c r="G34" s="27"/>
      <c r="H34" s="32"/>
    </row>
    <row r="35" spans="2:8" s="3" customFormat="1" ht="17" x14ac:dyDescent="0.2">
      <c r="B35" s="12" t="s">
        <v>16</v>
      </c>
      <c r="C35" s="5" t="s">
        <v>7</v>
      </c>
      <c r="D35" s="5">
        <v>1</v>
      </c>
      <c r="E35" s="30">
        <v>23.98</v>
      </c>
      <c r="F35" s="30">
        <f t="shared" si="0"/>
        <v>21.582000000000001</v>
      </c>
      <c r="G35" s="27"/>
      <c r="H35" s="32"/>
    </row>
    <row r="36" spans="2:8" s="3" customFormat="1" ht="17" x14ac:dyDescent="0.2">
      <c r="B36" s="12" t="s">
        <v>17</v>
      </c>
      <c r="C36" s="5" t="s">
        <v>7</v>
      </c>
      <c r="D36" s="5">
        <v>1</v>
      </c>
      <c r="E36" s="30">
        <v>8.7200000000000006</v>
      </c>
      <c r="F36" s="30">
        <f t="shared" si="0"/>
        <v>7.8480000000000008</v>
      </c>
      <c r="G36" s="27"/>
      <c r="H36" s="32"/>
    </row>
    <row r="37" spans="2:8" s="3" customFormat="1" ht="17" x14ac:dyDescent="0.2">
      <c r="B37" s="12" t="s">
        <v>18</v>
      </c>
      <c r="C37" s="5" t="s">
        <v>7</v>
      </c>
      <c r="D37" s="5">
        <v>1</v>
      </c>
      <c r="E37" s="30">
        <v>14.17</v>
      </c>
      <c r="F37" s="30">
        <f t="shared" si="0"/>
        <v>12.753</v>
      </c>
      <c r="G37" s="27"/>
      <c r="H37" s="32"/>
    </row>
    <row r="38" spans="2:8" s="3" customFormat="1" ht="17" x14ac:dyDescent="0.2">
      <c r="B38" s="12" t="s">
        <v>19</v>
      </c>
      <c r="C38" s="5" t="s">
        <v>7</v>
      </c>
      <c r="D38" s="5">
        <v>1</v>
      </c>
      <c r="E38" s="30">
        <v>14.17</v>
      </c>
      <c r="F38" s="30">
        <f t="shared" si="0"/>
        <v>12.753</v>
      </c>
      <c r="G38" s="27"/>
      <c r="H38" s="32"/>
    </row>
    <row r="39" spans="2:8" s="3" customFormat="1" ht="17" x14ac:dyDescent="0.2">
      <c r="B39" s="12" t="s">
        <v>20</v>
      </c>
      <c r="C39" s="5" t="s">
        <v>7</v>
      </c>
      <c r="D39" s="5">
        <v>1</v>
      </c>
      <c r="E39" s="30">
        <v>25.07</v>
      </c>
      <c r="F39" s="30">
        <f t="shared" si="0"/>
        <v>22.562999999999999</v>
      </c>
      <c r="G39" s="27"/>
    </row>
    <row r="40" spans="2:8" ht="6" customHeight="1" x14ac:dyDescent="0.2">
      <c r="B40" s="10"/>
      <c r="C40" s="10"/>
      <c r="D40" s="10"/>
      <c r="E40" s="11"/>
      <c r="F40" s="11"/>
      <c r="G40" s="27"/>
    </row>
    <row r="41" spans="2:8" ht="21" customHeight="1" x14ac:dyDescent="0.2">
      <c r="B41" s="40" t="s">
        <v>33</v>
      </c>
      <c r="C41" s="40"/>
      <c r="D41" s="40"/>
      <c r="E41" s="40"/>
      <c r="F41" s="40"/>
    </row>
    <row r="43" spans="2:8" ht="21" customHeight="1" x14ac:dyDescent="0.2">
      <c r="B43" s="40" t="s">
        <v>48</v>
      </c>
      <c r="C43" s="40"/>
      <c r="D43" s="40"/>
      <c r="E43" s="40"/>
      <c r="F43" s="40"/>
    </row>
  </sheetData>
  <mergeCells count="4">
    <mergeCell ref="B2:F2"/>
    <mergeCell ref="B4:D4"/>
    <mergeCell ref="B41:F41"/>
    <mergeCell ref="B43:F4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81342-4F8C-C84C-AE00-8553570D16E5}">
  <dimension ref="B2:G46"/>
  <sheetViews>
    <sheetView zoomScale="90" workbookViewId="0">
      <selection activeCell="J14" sqref="J14"/>
    </sheetView>
  </sheetViews>
  <sheetFormatPr baseColWidth="10" defaultColWidth="10.83203125" defaultRowHeight="16" x14ac:dyDescent="0.2"/>
  <cols>
    <col min="1" max="1" width="8.5" style="1" customWidth="1"/>
    <col min="2" max="2" width="48.33203125" style="1" bestFit="1" customWidth="1"/>
    <col min="3" max="3" width="8.5" style="1" bestFit="1" customWidth="1"/>
    <col min="4" max="4" width="10.5" style="1" bestFit="1" customWidth="1"/>
    <col min="5" max="5" width="16.83203125" style="4" bestFit="1" customWidth="1"/>
    <col min="6" max="6" width="4" style="1" bestFit="1" customWidth="1"/>
    <col min="7" max="16384" width="10.83203125" style="1"/>
  </cols>
  <sheetData>
    <row r="2" spans="2:7" ht="24" customHeight="1" x14ac:dyDescent="0.2">
      <c r="B2" s="44" t="s">
        <v>54</v>
      </c>
      <c r="C2" s="44"/>
      <c r="D2" s="44"/>
      <c r="E2" s="44"/>
    </row>
    <row r="3" spans="2:7" ht="3" customHeight="1" x14ac:dyDescent="0.2">
      <c r="B3" s="14"/>
      <c r="C3" s="14"/>
      <c r="D3" s="14"/>
      <c r="E3" s="14"/>
    </row>
    <row r="4" spans="2:7" ht="3" customHeight="1" x14ac:dyDescent="0.2">
      <c r="B4" s="38"/>
      <c r="C4" s="38"/>
      <c r="D4" s="38"/>
      <c r="E4" s="1"/>
    </row>
    <row r="5" spans="2:7" s="2" customFormat="1" ht="17" x14ac:dyDescent="0.2">
      <c r="B5" s="20" t="s">
        <v>9</v>
      </c>
      <c r="C5" s="20" t="s">
        <v>0</v>
      </c>
      <c r="D5" s="20" t="s">
        <v>1</v>
      </c>
      <c r="E5" s="21" t="s">
        <v>42</v>
      </c>
    </row>
    <row r="6" spans="2:7" s="3" customFormat="1" ht="17" x14ac:dyDescent="0.2">
      <c r="B6" s="12" t="s">
        <v>34</v>
      </c>
      <c r="C6" s="5">
        <v>0</v>
      </c>
      <c r="D6" s="5">
        <v>1</v>
      </c>
      <c r="E6" s="15">
        <v>345000</v>
      </c>
      <c r="F6" s="26"/>
    </row>
    <row r="7" spans="2:7" s="3" customFormat="1" ht="17" x14ac:dyDescent="0.2">
      <c r="B7" s="12" t="s">
        <v>35</v>
      </c>
      <c r="C7" s="5">
        <v>0</v>
      </c>
      <c r="D7" s="5">
        <v>2</v>
      </c>
      <c r="E7" s="15">
        <v>440000</v>
      </c>
      <c r="G7" s="24"/>
    </row>
    <row r="8" spans="2:7" s="3" customFormat="1" ht="17" x14ac:dyDescent="0.2">
      <c r="B8" s="12" t="s">
        <v>22</v>
      </c>
      <c r="C8" s="5">
        <v>1</v>
      </c>
      <c r="D8" s="5">
        <v>1</v>
      </c>
      <c r="E8" s="15">
        <v>475000</v>
      </c>
    </row>
    <row r="9" spans="2:7" s="3" customFormat="1" ht="17" x14ac:dyDescent="0.2">
      <c r="B9" s="12" t="s">
        <v>36</v>
      </c>
      <c r="C9" s="5">
        <v>0</v>
      </c>
      <c r="D9" s="5">
        <v>1</v>
      </c>
      <c r="E9" s="15">
        <v>90000</v>
      </c>
    </row>
    <row r="10" spans="2:7" s="3" customFormat="1" ht="17" x14ac:dyDescent="0.2">
      <c r="B10" s="12" t="s">
        <v>32</v>
      </c>
      <c r="C10" s="5">
        <v>0</v>
      </c>
      <c r="D10" s="5">
        <v>2</v>
      </c>
      <c r="E10" s="15">
        <v>150000</v>
      </c>
    </row>
    <row r="11" spans="2:7" s="3" customFormat="1" ht="17" x14ac:dyDescent="0.2">
      <c r="B11" s="12" t="s">
        <v>37</v>
      </c>
      <c r="C11" s="5" t="s">
        <v>7</v>
      </c>
      <c r="D11" s="5">
        <v>1</v>
      </c>
      <c r="E11" s="15">
        <v>295000</v>
      </c>
    </row>
    <row r="12" spans="2:7" s="3" customFormat="1" ht="17" x14ac:dyDescent="0.2">
      <c r="B12" s="12" t="s">
        <v>41</v>
      </c>
      <c r="C12" s="5" t="s">
        <v>7</v>
      </c>
      <c r="D12" s="5">
        <v>1</v>
      </c>
      <c r="E12" s="15">
        <v>170000</v>
      </c>
    </row>
    <row r="13" spans="2:7" s="3" customFormat="1" ht="6" customHeight="1" x14ac:dyDescent="0.2">
      <c r="B13" s="6"/>
      <c r="C13" s="6"/>
      <c r="D13" s="6"/>
      <c r="E13" s="7"/>
    </row>
    <row r="14" spans="2:7" s="2" customFormat="1" ht="17" x14ac:dyDescent="0.2">
      <c r="B14" s="20" t="s">
        <v>3</v>
      </c>
      <c r="C14" s="20" t="s">
        <v>0</v>
      </c>
      <c r="D14" s="20" t="s">
        <v>1</v>
      </c>
      <c r="E14" s="21" t="s">
        <v>42</v>
      </c>
    </row>
    <row r="15" spans="2:7" s="3" customFormat="1" ht="17" x14ac:dyDescent="0.2">
      <c r="B15" s="12" t="s">
        <v>38</v>
      </c>
      <c r="C15" s="5">
        <v>0</v>
      </c>
      <c r="D15" s="5">
        <v>3</v>
      </c>
      <c r="E15" s="15">
        <v>665000</v>
      </c>
    </row>
    <row r="16" spans="2:7" s="3" customFormat="1" ht="17" x14ac:dyDescent="0.2">
      <c r="B16" s="12" t="s">
        <v>39</v>
      </c>
      <c r="C16" s="5">
        <v>0</v>
      </c>
      <c r="D16" s="5">
        <v>4</v>
      </c>
      <c r="E16" s="15">
        <v>830000</v>
      </c>
      <c r="F16" s="24"/>
    </row>
    <row r="17" spans="2:6" s="3" customFormat="1" ht="17" x14ac:dyDescent="0.2">
      <c r="B17" s="12" t="s">
        <v>21</v>
      </c>
      <c r="C17" s="5">
        <v>0</v>
      </c>
      <c r="D17" s="5">
        <v>4</v>
      </c>
      <c r="E17" s="15">
        <v>720000</v>
      </c>
    </row>
    <row r="18" spans="2:6" s="3" customFormat="1" ht="17" x14ac:dyDescent="0.2">
      <c r="B18" s="12" t="s">
        <v>23</v>
      </c>
      <c r="C18" s="5">
        <v>0</v>
      </c>
      <c r="D18" s="5">
        <v>5</v>
      </c>
      <c r="E18" s="15">
        <v>1000000</v>
      </c>
    </row>
    <row r="19" spans="2:6" s="3" customFormat="1" ht="17" x14ac:dyDescent="0.2">
      <c r="B19" s="12" t="s">
        <v>24</v>
      </c>
      <c r="C19" s="5">
        <v>0</v>
      </c>
      <c r="D19" s="5">
        <v>7</v>
      </c>
      <c r="E19" s="15">
        <v>1375000</v>
      </c>
    </row>
    <row r="20" spans="2:6" s="3" customFormat="1" ht="17" x14ac:dyDescent="0.2">
      <c r="B20" s="12" t="s">
        <v>25</v>
      </c>
      <c r="C20" s="5">
        <v>0</v>
      </c>
      <c r="D20" s="5">
        <v>9</v>
      </c>
      <c r="E20" s="15">
        <v>1695000</v>
      </c>
    </row>
    <row r="21" spans="2:6" s="3" customFormat="1" ht="17" x14ac:dyDescent="0.2">
      <c r="B21" s="12" t="s">
        <v>40</v>
      </c>
      <c r="C21" s="5">
        <v>0</v>
      </c>
      <c r="D21" s="5">
        <v>1</v>
      </c>
      <c r="E21" s="15">
        <v>195000</v>
      </c>
    </row>
    <row r="22" spans="2:6" s="3" customFormat="1" ht="6" customHeight="1" x14ac:dyDescent="0.2">
      <c r="B22" s="6"/>
      <c r="C22" s="6"/>
      <c r="D22" s="6"/>
      <c r="E22" s="8"/>
    </row>
    <row r="23" spans="2:6" s="2" customFormat="1" ht="17" x14ac:dyDescent="0.2">
      <c r="B23" s="20" t="s">
        <v>2</v>
      </c>
      <c r="C23" s="20" t="s">
        <v>0</v>
      </c>
      <c r="D23" s="20" t="s">
        <v>1</v>
      </c>
      <c r="E23" s="21" t="s">
        <v>42</v>
      </c>
    </row>
    <row r="24" spans="2:6" s="2" customFormat="1" ht="17" x14ac:dyDescent="0.2">
      <c r="B24" s="12" t="s">
        <v>28</v>
      </c>
      <c r="C24" s="5">
        <v>1</v>
      </c>
      <c r="D24" s="5">
        <v>2</v>
      </c>
      <c r="E24" s="15">
        <v>1485000</v>
      </c>
      <c r="F24" s="25"/>
    </row>
    <row r="25" spans="2:6" s="2" customFormat="1" ht="17" x14ac:dyDescent="0.2">
      <c r="B25" s="12" t="s">
        <v>29</v>
      </c>
      <c r="C25" s="5">
        <v>1</v>
      </c>
      <c r="D25" s="5">
        <v>2</v>
      </c>
      <c r="E25" s="15">
        <v>1150000</v>
      </c>
      <c r="F25" s="25"/>
    </row>
    <row r="26" spans="2:6" s="3" customFormat="1" ht="17" x14ac:dyDescent="0.2">
      <c r="B26" s="12" t="s">
        <v>26</v>
      </c>
      <c r="C26" s="5">
        <v>2</v>
      </c>
      <c r="D26" s="5">
        <v>4</v>
      </c>
      <c r="E26" s="15">
        <v>2100000</v>
      </c>
    </row>
    <row r="27" spans="2:6" s="3" customFormat="1" ht="17" x14ac:dyDescent="0.2">
      <c r="B27" s="12" t="s">
        <v>27</v>
      </c>
      <c r="C27" s="5">
        <v>0</v>
      </c>
      <c r="D27" s="5">
        <v>5</v>
      </c>
      <c r="E27" s="15">
        <v>1870000</v>
      </c>
    </row>
    <row r="28" spans="2:6" s="3" customFormat="1" ht="17" x14ac:dyDescent="0.2">
      <c r="B28" s="12" t="s">
        <v>8</v>
      </c>
      <c r="C28" s="5">
        <v>1</v>
      </c>
      <c r="D28" s="5">
        <v>2</v>
      </c>
      <c r="E28" s="15">
        <v>2550000</v>
      </c>
    </row>
    <row r="29" spans="2:6" s="3" customFormat="1" ht="17" x14ac:dyDescent="0.2">
      <c r="B29" s="12" t="s">
        <v>30</v>
      </c>
      <c r="C29" s="5">
        <v>2</v>
      </c>
      <c r="D29" s="5">
        <v>4</v>
      </c>
      <c r="E29" s="15">
        <v>1495000</v>
      </c>
    </row>
    <row r="30" spans="2:6" s="3" customFormat="1" ht="17" x14ac:dyDescent="0.2">
      <c r="B30" s="12" t="s">
        <v>13</v>
      </c>
      <c r="C30" s="5">
        <v>0</v>
      </c>
      <c r="D30" s="5">
        <v>4</v>
      </c>
      <c r="E30" s="15">
        <v>1565000</v>
      </c>
    </row>
    <row r="31" spans="2:6" s="3" customFormat="1" ht="6" customHeight="1" x14ac:dyDescent="0.2">
      <c r="B31" s="6"/>
      <c r="C31" s="6"/>
      <c r="D31" s="6"/>
      <c r="E31" s="7"/>
    </row>
    <row r="32" spans="2:6" s="3" customFormat="1" ht="17" x14ac:dyDescent="0.2">
      <c r="B32" s="20" t="s">
        <v>31</v>
      </c>
      <c r="C32" s="20" t="s">
        <v>7</v>
      </c>
      <c r="D32" s="20" t="s">
        <v>1</v>
      </c>
      <c r="E32" s="21" t="s">
        <v>42</v>
      </c>
    </row>
    <row r="33" spans="2:5" s="3" customFormat="1" ht="17" x14ac:dyDescent="0.2">
      <c r="B33" s="13" t="s">
        <v>10</v>
      </c>
      <c r="C33" s="9">
        <v>0</v>
      </c>
      <c r="D33" s="9">
        <v>2</v>
      </c>
      <c r="E33" s="16">
        <v>1215000</v>
      </c>
    </row>
    <row r="34" spans="2:5" s="3" customFormat="1" ht="17" x14ac:dyDescent="0.2">
      <c r="B34" s="12" t="s">
        <v>12</v>
      </c>
      <c r="C34" s="5">
        <v>0</v>
      </c>
      <c r="D34" s="5">
        <v>3</v>
      </c>
      <c r="E34" s="15">
        <v>1440000</v>
      </c>
    </row>
    <row r="35" spans="2:5" s="3" customFormat="1" ht="17" x14ac:dyDescent="0.2">
      <c r="B35" s="12" t="s">
        <v>11</v>
      </c>
      <c r="C35" s="5">
        <v>0</v>
      </c>
      <c r="D35" s="5">
        <v>4</v>
      </c>
      <c r="E35" s="15">
        <v>1630000</v>
      </c>
    </row>
    <row r="36" spans="2:5" s="3" customFormat="1" ht="6" customHeight="1" x14ac:dyDescent="0.2">
      <c r="B36" s="6"/>
      <c r="C36" s="6"/>
      <c r="D36" s="6"/>
      <c r="E36" s="7"/>
    </row>
    <row r="37" spans="2:5" s="2" customFormat="1" ht="17" x14ac:dyDescent="0.2">
      <c r="B37" s="20" t="s">
        <v>4</v>
      </c>
      <c r="C37" s="20" t="s">
        <v>7</v>
      </c>
      <c r="D37" s="20" t="s">
        <v>5</v>
      </c>
      <c r="E37" s="21" t="s">
        <v>42</v>
      </c>
    </row>
    <row r="38" spans="2:5" s="3" customFormat="1" ht="17" x14ac:dyDescent="0.2">
      <c r="B38" s="12" t="s">
        <v>14</v>
      </c>
      <c r="C38" s="5" t="s">
        <v>7</v>
      </c>
      <c r="D38" s="5">
        <v>1</v>
      </c>
      <c r="E38" s="22">
        <v>70000</v>
      </c>
    </row>
    <row r="39" spans="2:5" s="3" customFormat="1" ht="17" x14ac:dyDescent="0.2">
      <c r="B39" s="12" t="s">
        <v>15</v>
      </c>
      <c r="C39" s="5" t="s">
        <v>7</v>
      </c>
      <c r="D39" s="5">
        <v>1</v>
      </c>
      <c r="E39" s="22">
        <v>70000</v>
      </c>
    </row>
    <row r="40" spans="2:5" s="3" customFormat="1" ht="17" x14ac:dyDescent="0.2">
      <c r="B40" s="12" t="s">
        <v>16</v>
      </c>
      <c r="C40" s="5" t="s">
        <v>7</v>
      </c>
      <c r="D40" s="5">
        <v>1</v>
      </c>
      <c r="E40" s="22">
        <v>70000</v>
      </c>
    </row>
    <row r="41" spans="2:5" s="3" customFormat="1" ht="17" x14ac:dyDescent="0.2">
      <c r="B41" s="12" t="s">
        <v>17</v>
      </c>
      <c r="C41" s="5" t="s">
        <v>7</v>
      </c>
      <c r="D41" s="5">
        <v>1</v>
      </c>
      <c r="E41" s="23">
        <v>25000</v>
      </c>
    </row>
    <row r="42" spans="2:5" s="3" customFormat="1" ht="17" x14ac:dyDescent="0.2">
      <c r="B42" s="12" t="s">
        <v>18</v>
      </c>
      <c r="C42" s="5" t="s">
        <v>7</v>
      </c>
      <c r="D42" s="5">
        <v>1</v>
      </c>
      <c r="E42" s="23">
        <v>45000</v>
      </c>
    </row>
    <row r="43" spans="2:5" s="3" customFormat="1" ht="17" x14ac:dyDescent="0.2">
      <c r="B43" s="12" t="s">
        <v>19</v>
      </c>
      <c r="C43" s="5" t="s">
        <v>7</v>
      </c>
      <c r="D43" s="5">
        <v>1</v>
      </c>
      <c r="E43" s="23">
        <v>45000</v>
      </c>
    </row>
    <row r="44" spans="2:5" s="3" customFormat="1" ht="17" x14ac:dyDescent="0.2">
      <c r="B44" s="12" t="s">
        <v>20</v>
      </c>
      <c r="C44" s="5" t="s">
        <v>7</v>
      </c>
      <c r="D44" s="5">
        <v>1</v>
      </c>
      <c r="E44" s="23">
        <v>90000</v>
      </c>
    </row>
    <row r="45" spans="2:5" ht="6" customHeight="1" x14ac:dyDescent="0.2">
      <c r="B45" s="10"/>
      <c r="C45" s="10"/>
      <c r="D45" s="10"/>
      <c r="E45" s="11"/>
    </row>
    <row r="46" spans="2:5" ht="21" customHeight="1" x14ac:dyDescent="0.2">
      <c r="B46" s="45" t="s">
        <v>46</v>
      </c>
      <c r="C46" s="45"/>
      <c r="D46" s="45"/>
      <c r="E46" s="45"/>
    </row>
  </sheetData>
  <mergeCells count="3">
    <mergeCell ref="B2:E2"/>
    <mergeCell ref="B4:D4"/>
    <mergeCell ref="B46:E4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E891F-DA93-0847-9F8E-507C0ADB0450}">
  <dimension ref="B2:M46"/>
  <sheetViews>
    <sheetView zoomScale="65" workbookViewId="0">
      <selection activeCell="H1" sqref="H1:O1048576"/>
    </sheetView>
  </sheetViews>
  <sheetFormatPr baseColWidth="10" defaultColWidth="10.83203125" defaultRowHeight="16" x14ac:dyDescent="0.2"/>
  <cols>
    <col min="1" max="1" width="9.1640625" style="1" customWidth="1"/>
    <col min="2" max="2" width="42.1640625" style="1" customWidth="1"/>
    <col min="3" max="3" width="11" style="1" customWidth="1"/>
    <col min="4" max="4" width="13.6640625" style="1" customWidth="1"/>
    <col min="5" max="5" width="14.33203125" style="1" bestFit="1" customWidth="1"/>
    <col min="6" max="6" width="18.1640625" style="4" bestFit="1" customWidth="1"/>
    <col min="7" max="7" width="10.83203125" style="1"/>
    <col min="8" max="8" width="11" style="4" bestFit="1" customWidth="1"/>
    <col min="9" max="9" width="12.83203125" style="4" bestFit="1" customWidth="1"/>
    <col min="10" max="10" width="10.83203125" style="1"/>
    <col min="11" max="11" width="12.83203125" style="1" bestFit="1" customWidth="1"/>
    <col min="12" max="16384" width="10.83203125" style="1"/>
  </cols>
  <sheetData>
    <row r="2" spans="2:11" ht="24" customHeight="1" x14ac:dyDescent="0.2">
      <c r="B2" s="44" t="s">
        <v>77</v>
      </c>
      <c r="C2" s="44"/>
      <c r="D2" s="44"/>
      <c r="E2" s="44"/>
      <c r="F2" s="44"/>
    </row>
    <row r="3" spans="2:11" ht="3" customHeight="1" x14ac:dyDescent="0.2">
      <c r="B3" s="14"/>
      <c r="C3" s="14"/>
      <c r="D3" s="14"/>
      <c r="E3" s="14"/>
      <c r="F3" s="14"/>
    </row>
    <row r="4" spans="2:11" ht="3" customHeight="1" x14ac:dyDescent="0.2">
      <c r="B4" s="38"/>
      <c r="C4" s="38"/>
      <c r="D4" s="38"/>
      <c r="E4" s="19"/>
      <c r="F4" s="1"/>
    </row>
    <row r="5" spans="2:11" s="2" customFormat="1" ht="17" x14ac:dyDescent="0.2">
      <c r="B5" s="20" t="s">
        <v>9</v>
      </c>
      <c r="C5" s="20" t="s">
        <v>0</v>
      </c>
      <c r="D5" s="20" t="s">
        <v>1</v>
      </c>
      <c r="E5" s="20" t="s">
        <v>49</v>
      </c>
      <c r="F5" s="21" t="s">
        <v>50</v>
      </c>
      <c r="H5" s="28"/>
      <c r="I5" s="28"/>
    </row>
    <row r="6" spans="2:11" s="3" customFormat="1" ht="17" x14ac:dyDescent="0.2">
      <c r="B6" s="12" t="s">
        <v>34</v>
      </c>
      <c r="C6" s="5">
        <v>0</v>
      </c>
      <c r="D6" s="5">
        <v>1</v>
      </c>
      <c r="E6" s="5">
        <v>108</v>
      </c>
      <c r="F6" s="15">
        <f>+E6-(E6*10%)</f>
        <v>97.2</v>
      </c>
      <c r="H6" s="27"/>
      <c r="I6" s="27"/>
      <c r="K6" s="32"/>
    </row>
    <row r="7" spans="2:11" s="3" customFormat="1" ht="17" x14ac:dyDescent="0.2">
      <c r="B7" s="12" t="s">
        <v>35</v>
      </c>
      <c r="C7" s="5">
        <v>0</v>
      </c>
      <c r="D7" s="5">
        <v>2</v>
      </c>
      <c r="E7" s="5">
        <v>138</v>
      </c>
      <c r="F7" s="15">
        <f t="shared" ref="F7:F12" si="0">+E7-(E7*10%)</f>
        <v>124.2</v>
      </c>
      <c r="H7" s="27"/>
      <c r="I7" s="27"/>
      <c r="K7" s="32"/>
    </row>
    <row r="8" spans="2:11" s="3" customFormat="1" ht="17" x14ac:dyDescent="0.2">
      <c r="B8" s="12" t="s">
        <v>22</v>
      </c>
      <c r="C8" s="5">
        <v>1</v>
      </c>
      <c r="D8" s="5">
        <v>1</v>
      </c>
      <c r="E8" s="5">
        <v>149</v>
      </c>
      <c r="F8" s="15">
        <f t="shared" si="0"/>
        <v>134.1</v>
      </c>
      <c r="H8" s="27"/>
      <c r="I8" s="27"/>
      <c r="K8" s="32"/>
    </row>
    <row r="9" spans="2:11" s="3" customFormat="1" ht="17" x14ac:dyDescent="0.2">
      <c r="B9" s="12" t="s">
        <v>36</v>
      </c>
      <c r="C9" s="5">
        <v>0</v>
      </c>
      <c r="D9" s="5">
        <v>1</v>
      </c>
      <c r="E9" s="5">
        <v>29</v>
      </c>
      <c r="F9" s="15">
        <f t="shared" si="0"/>
        <v>26.1</v>
      </c>
      <c r="H9" s="27"/>
      <c r="I9" s="27"/>
      <c r="K9" s="32"/>
    </row>
    <row r="10" spans="2:11" s="3" customFormat="1" ht="17" x14ac:dyDescent="0.2">
      <c r="B10" s="12" t="s">
        <v>32</v>
      </c>
      <c r="C10" s="5">
        <v>0</v>
      </c>
      <c r="D10" s="5">
        <v>2</v>
      </c>
      <c r="E10" s="5">
        <v>50</v>
      </c>
      <c r="F10" s="15">
        <f t="shared" si="0"/>
        <v>45</v>
      </c>
      <c r="H10" s="27"/>
      <c r="I10" s="27"/>
      <c r="K10" s="32"/>
    </row>
    <row r="11" spans="2:11" s="3" customFormat="1" ht="17" x14ac:dyDescent="0.2">
      <c r="B11" s="12" t="s">
        <v>37</v>
      </c>
      <c r="C11" s="5" t="s">
        <v>7</v>
      </c>
      <c r="D11" s="5">
        <v>1</v>
      </c>
      <c r="E11" s="5">
        <v>94</v>
      </c>
      <c r="F11" s="15">
        <f t="shared" si="0"/>
        <v>84.6</v>
      </c>
      <c r="H11" s="27"/>
      <c r="I11" s="27"/>
      <c r="K11" s="32"/>
    </row>
    <row r="12" spans="2:11" s="3" customFormat="1" ht="17" x14ac:dyDescent="0.2">
      <c r="B12" s="12" t="s">
        <v>41</v>
      </c>
      <c r="C12" s="5" t="s">
        <v>7</v>
      </c>
      <c r="D12" s="5">
        <v>1</v>
      </c>
      <c r="E12" s="5">
        <v>58</v>
      </c>
      <c r="F12" s="15">
        <f t="shared" si="0"/>
        <v>52.2</v>
      </c>
      <c r="H12" s="27"/>
      <c r="I12" s="27"/>
      <c r="K12" s="32"/>
    </row>
    <row r="13" spans="2:11" s="3" customFormat="1" ht="6" customHeight="1" x14ac:dyDescent="0.2">
      <c r="B13" s="6"/>
      <c r="C13" s="6"/>
      <c r="D13" s="6"/>
      <c r="E13" s="6"/>
      <c r="F13" s="7"/>
      <c r="H13" s="27"/>
      <c r="I13" s="27"/>
      <c r="K13" s="32"/>
    </row>
    <row r="14" spans="2:11" s="2" customFormat="1" ht="17" x14ac:dyDescent="0.2">
      <c r="B14" s="20" t="s">
        <v>3</v>
      </c>
      <c r="C14" s="20" t="s">
        <v>0</v>
      </c>
      <c r="D14" s="20" t="s">
        <v>1</v>
      </c>
      <c r="E14" s="20" t="s">
        <v>49</v>
      </c>
      <c r="F14" s="21" t="s">
        <v>50</v>
      </c>
      <c r="H14" s="27"/>
      <c r="I14" s="27"/>
      <c r="J14" s="3"/>
      <c r="K14" s="32"/>
    </row>
    <row r="15" spans="2:11" s="3" customFormat="1" ht="17" x14ac:dyDescent="0.2">
      <c r="B15" s="12" t="s">
        <v>38</v>
      </c>
      <c r="C15" s="5">
        <v>0</v>
      </c>
      <c r="D15" s="5">
        <v>3</v>
      </c>
      <c r="E15" s="5">
        <v>209</v>
      </c>
      <c r="F15" s="15">
        <f t="shared" ref="F15:F21" si="1">+E15-(E15*10%)</f>
        <v>188.1</v>
      </c>
      <c r="H15" s="27"/>
      <c r="I15" s="27"/>
      <c r="K15" s="32"/>
    </row>
    <row r="16" spans="2:11" s="3" customFormat="1" ht="17" x14ac:dyDescent="0.2">
      <c r="B16" s="12" t="s">
        <v>39</v>
      </c>
      <c r="C16" s="5">
        <v>0</v>
      </c>
      <c r="D16" s="5">
        <v>4</v>
      </c>
      <c r="E16" s="5">
        <v>262</v>
      </c>
      <c r="F16" s="15">
        <f t="shared" si="1"/>
        <v>235.8</v>
      </c>
      <c r="H16" s="27"/>
      <c r="I16" s="27"/>
      <c r="K16" s="32"/>
    </row>
    <row r="17" spans="2:13" s="3" customFormat="1" ht="17" x14ac:dyDescent="0.2">
      <c r="B17" s="12" t="s">
        <v>21</v>
      </c>
      <c r="C17" s="5">
        <v>0</v>
      </c>
      <c r="D17" s="5">
        <v>4</v>
      </c>
      <c r="E17" s="5">
        <v>227</v>
      </c>
      <c r="F17" s="15">
        <f t="shared" si="1"/>
        <v>204.3</v>
      </c>
      <c r="H17" s="27"/>
      <c r="I17" s="27"/>
      <c r="K17" s="32"/>
      <c r="M17" s="32"/>
    </row>
    <row r="18" spans="2:13" s="3" customFormat="1" ht="17" x14ac:dyDescent="0.2">
      <c r="B18" s="12" t="s">
        <v>23</v>
      </c>
      <c r="C18" s="5">
        <v>0</v>
      </c>
      <c r="D18" s="5">
        <v>5</v>
      </c>
      <c r="E18" s="5">
        <v>354</v>
      </c>
      <c r="F18" s="15">
        <f t="shared" si="1"/>
        <v>318.60000000000002</v>
      </c>
      <c r="H18" s="27"/>
      <c r="I18" s="27"/>
      <c r="K18" s="32"/>
    </row>
    <row r="19" spans="2:13" s="3" customFormat="1" ht="17" x14ac:dyDescent="0.2">
      <c r="B19" s="12" t="s">
        <v>24</v>
      </c>
      <c r="C19" s="5">
        <v>0</v>
      </c>
      <c r="D19" s="5">
        <v>7</v>
      </c>
      <c r="E19" s="5">
        <v>480</v>
      </c>
      <c r="F19" s="15">
        <f t="shared" si="1"/>
        <v>432</v>
      </c>
      <c r="H19" s="27"/>
      <c r="I19" s="27"/>
      <c r="K19" s="32"/>
    </row>
    <row r="20" spans="2:13" s="3" customFormat="1" ht="17" x14ac:dyDescent="0.2">
      <c r="B20" s="12" t="s">
        <v>25</v>
      </c>
      <c r="C20" s="5">
        <v>0</v>
      </c>
      <c r="D20" s="5">
        <v>9</v>
      </c>
      <c r="E20" s="5">
        <v>605</v>
      </c>
      <c r="F20" s="15">
        <f t="shared" si="1"/>
        <v>544.5</v>
      </c>
      <c r="H20" s="27"/>
      <c r="I20" s="27"/>
      <c r="K20" s="32"/>
    </row>
    <row r="21" spans="2:13" s="3" customFormat="1" ht="17" x14ac:dyDescent="0.2">
      <c r="B21" s="12" t="s">
        <v>40</v>
      </c>
      <c r="C21" s="5">
        <v>0</v>
      </c>
      <c r="D21" s="5">
        <v>1</v>
      </c>
      <c r="E21" s="5">
        <v>64</v>
      </c>
      <c r="F21" s="15">
        <f t="shared" si="1"/>
        <v>57.6</v>
      </c>
      <c r="H21" s="27"/>
      <c r="I21" s="27"/>
      <c r="K21" s="32"/>
    </row>
    <row r="22" spans="2:13" s="3" customFormat="1" ht="6" customHeight="1" x14ac:dyDescent="0.2">
      <c r="B22" s="6"/>
      <c r="C22" s="6"/>
      <c r="D22" s="6"/>
      <c r="E22" s="6"/>
      <c r="F22" s="8"/>
      <c r="H22" s="27"/>
      <c r="I22" s="27"/>
      <c r="K22" s="32"/>
    </row>
    <row r="23" spans="2:13" s="2" customFormat="1" ht="17" x14ac:dyDescent="0.2">
      <c r="B23" s="20" t="s">
        <v>2</v>
      </c>
      <c r="C23" s="20" t="s">
        <v>0</v>
      </c>
      <c r="D23" s="20" t="s">
        <v>1</v>
      </c>
      <c r="E23" s="20" t="s">
        <v>49</v>
      </c>
      <c r="F23" s="21" t="s">
        <v>50</v>
      </c>
      <c r="H23" s="27"/>
      <c r="I23" s="27"/>
      <c r="J23" s="3"/>
      <c r="K23" s="32"/>
    </row>
    <row r="24" spans="2:13" s="2" customFormat="1" ht="17" x14ac:dyDescent="0.2">
      <c r="B24" s="12" t="s">
        <v>28</v>
      </c>
      <c r="C24" s="5">
        <v>1</v>
      </c>
      <c r="D24" s="5">
        <v>2</v>
      </c>
      <c r="E24" s="5">
        <v>467</v>
      </c>
      <c r="F24" s="15">
        <f t="shared" ref="F24:F30" si="2">+E24-(E24*10%)</f>
        <v>420.3</v>
      </c>
      <c r="H24" s="27"/>
      <c r="I24" s="27"/>
      <c r="J24" s="3"/>
      <c r="K24" s="32"/>
    </row>
    <row r="25" spans="2:13" s="2" customFormat="1" ht="17" x14ac:dyDescent="0.2">
      <c r="B25" s="12" t="s">
        <v>29</v>
      </c>
      <c r="C25" s="5">
        <v>1</v>
      </c>
      <c r="D25" s="5">
        <v>2</v>
      </c>
      <c r="E25" s="5">
        <v>362</v>
      </c>
      <c r="F25" s="15">
        <f t="shared" si="2"/>
        <v>325.8</v>
      </c>
      <c r="H25" s="27"/>
      <c r="I25" s="27"/>
      <c r="J25" s="3"/>
      <c r="K25" s="32"/>
    </row>
    <row r="26" spans="2:13" s="3" customFormat="1" ht="17" x14ac:dyDescent="0.2">
      <c r="B26" s="12" t="s">
        <v>26</v>
      </c>
      <c r="C26" s="5">
        <v>2</v>
      </c>
      <c r="D26" s="5">
        <v>4</v>
      </c>
      <c r="E26" s="5">
        <v>662</v>
      </c>
      <c r="F26" s="15">
        <f t="shared" si="2"/>
        <v>595.79999999999995</v>
      </c>
      <c r="H26" s="27"/>
      <c r="I26" s="27"/>
      <c r="K26" s="32"/>
    </row>
    <row r="27" spans="2:13" s="3" customFormat="1" ht="17" x14ac:dyDescent="0.2">
      <c r="B27" s="12" t="s">
        <v>27</v>
      </c>
      <c r="C27" s="5">
        <v>0</v>
      </c>
      <c r="D27" s="5">
        <v>5</v>
      </c>
      <c r="E27" s="5">
        <v>588</v>
      </c>
      <c r="F27" s="15">
        <f t="shared" si="2"/>
        <v>529.20000000000005</v>
      </c>
      <c r="H27" s="27"/>
      <c r="I27" s="27"/>
      <c r="K27" s="32"/>
    </row>
    <row r="28" spans="2:13" s="3" customFormat="1" ht="17" x14ac:dyDescent="0.2">
      <c r="B28" s="12" t="s">
        <v>8</v>
      </c>
      <c r="C28" s="5">
        <v>1</v>
      </c>
      <c r="D28" s="5">
        <v>2</v>
      </c>
      <c r="E28" s="5">
        <v>720</v>
      </c>
      <c r="F28" s="15">
        <f t="shared" si="2"/>
        <v>648</v>
      </c>
      <c r="H28" s="27"/>
      <c r="I28" s="27"/>
      <c r="K28" s="32"/>
    </row>
    <row r="29" spans="2:13" s="3" customFormat="1" ht="17" x14ac:dyDescent="0.2">
      <c r="B29" s="12" t="s">
        <v>30</v>
      </c>
      <c r="C29" s="5">
        <v>2</v>
      </c>
      <c r="D29" s="5">
        <v>4</v>
      </c>
      <c r="E29" s="5">
        <v>472</v>
      </c>
      <c r="F29" s="15">
        <f t="shared" si="2"/>
        <v>424.8</v>
      </c>
      <c r="H29" s="27"/>
      <c r="I29" s="27"/>
      <c r="K29" s="32"/>
    </row>
    <row r="30" spans="2:13" s="3" customFormat="1" ht="17" x14ac:dyDescent="0.2">
      <c r="B30" s="12" t="s">
        <v>13</v>
      </c>
      <c r="C30" s="5">
        <v>0</v>
      </c>
      <c r="D30" s="5">
        <v>4</v>
      </c>
      <c r="E30" s="5">
        <v>480</v>
      </c>
      <c r="F30" s="15">
        <f t="shared" si="2"/>
        <v>432</v>
      </c>
      <c r="H30" s="27"/>
      <c r="I30" s="27"/>
      <c r="K30" s="32"/>
    </row>
    <row r="31" spans="2:13" s="3" customFormat="1" ht="6" customHeight="1" x14ac:dyDescent="0.2">
      <c r="B31" s="6"/>
      <c r="C31" s="6"/>
      <c r="D31" s="6"/>
      <c r="E31" s="6"/>
      <c r="F31" s="7"/>
      <c r="H31" s="27"/>
      <c r="I31" s="27"/>
      <c r="K31" s="32"/>
    </row>
    <row r="32" spans="2:13" s="3" customFormat="1" ht="17" x14ac:dyDescent="0.2">
      <c r="B32" s="20" t="s">
        <v>31</v>
      </c>
      <c r="C32" s="20" t="s">
        <v>7</v>
      </c>
      <c r="D32" s="20" t="s">
        <v>1</v>
      </c>
      <c r="E32" s="20" t="s">
        <v>49</v>
      </c>
      <c r="F32" s="21" t="s">
        <v>50</v>
      </c>
      <c r="H32" s="27"/>
      <c r="I32" s="27"/>
      <c r="K32" s="32"/>
    </row>
    <row r="33" spans="2:11" s="3" customFormat="1" ht="17" x14ac:dyDescent="0.2">
      <c r="B33" s="13" t="s">
        <v>10</v>
      </c>
      <c r="C33" s="9">
        <v>0</v>
      </c>
      <c r="D33" s="9">
        <v>2</v>
      </c>
      <c r="E33" s="9">
        <v>382</v>
      </c>
      <c r="F33" s="15">
        <f t="shared" ref="F33:F35" si="3">+E33-(E33*10%)</f>
        <v>343.8</v>
      </c>
      <c r="H33" s="27"/>
      <c r="I33" s="27"/>
      <c r="K33" s="32"/>
    </row>
    <row r="34" spans="2:11" s="3" customFormat="1" ht="17" x14ac:dyDescent="0.2">
      <c r="B34" s="12" t="s">
        <v>12</v>
      </c>
      <c r="C34" s="5">
        <v>0</v>
      </c>
      <c r="D34" s="5">
        <v>3</v>
      </c>
      <c r="E34" s="5">
        <v>451</v>
      </c>
      <c r="F34" s="15">
        <f t="shared" si="3"/>
        <v>405.9</v>
      </c>
      <c r="H34" s="27"/>
      <c r="I34" s="27"/>
      <c r="K34" s="32"/>
    </row>
    <row r="35" spans="2:11" s="3" customFormat="1" ht="17" x14ac:dyDescent="0.2">
      <c r="B35" s="12" t="s">
        <v>11</v>
      </c>
      <c r="C35" s="5">
        <v>0</v>
      </c>
      <c r="D35" s="5">
        <v>4</v>
      </c>
      <c r="E35" s="5">
        <v>512</v>
      </c>
      <c r="F35" s="15">
        <f t="shared" si="3"/>
        <v>460.8</v>
      </c>
      <c r="H35" s="27"/>
      <c r="I35" s="27"/>
      <c r="K35" s="32"/>
    </row>
    <row r="36" spans="2:11" s="3" customFormat="1" ht="6" customHeight="1" x14ac:dyDescent="0.2">
      <c r="B36" s="6"/>
      <c r="C36" s="6"/>
      <c r="D36" s="6"/>
      <c r="E36" s="6"/>
      <c r="F36" s="7"/>
      <c r="H36" s="27"/>
      <c r="I36" s="27"/>
      <c r="K36" s="32"/>
    </row>
    <row r="37" spans="2:11" s="2" customFormat="1" ht="17" x14ac:dyDescent="0.2">
      <c r="B37" s="20" t="s">
        <v>4</v>
      </c>
      <c r="C37" s="20" t="s">
        <v>7</v>
      </c>
      <c r="D37" s="20" t="s">
        <v>5</v>
      </c>
      <c r="E37" s="20"/>
      <c r="F37" s="21" t="s">
        <v>43</v>
      </c>
      <c r="H37" s="27"/>
      <c r="I37" s="27"/>
      <c r="J37" s="3"/>
      <c r="K37" s="32"/>
    </row>
    <row r="38" spans="2:11" s="3" customFormat="1" ht="17" x14ac:dyDescent="0.2">
      <c r="B38" s="12" t="s">
        <v>14</v>
      </c>
      <c r="C38" s="5" t="s">
        <v>7</v>
      </c>
      <c r="D38" s="5">
        <v>1</v>
      </c>
      <c r="E38" s="5">
        <v>2</v>
      </c>
      <c r="F38" s="15">
        <f t="shared" ref="F38:F44" si="4">+E38-(E38*10%)</f>
        <v>1.8</v>
      </c>
      <c r="H38" s="27"/>
      <c r="I38" s="27"/>
      <c r="K38" s="32"/>
    </row>
    <row r="39" spans="2:11" s="3" customFormat="1" ht="17" x14ac:dyDescent="0.2">
      <c r="B39" s="12" t="s">
        <v>15</v>
      </c>
      <c r="C39" s="5" t="s">
        <v>7</v>
      </c>
      <c r="D39" s="5">
        <v>1</v>
      </c>
      <c r="E39" s="5">
        <v>23</v>
      </c>
      <c r="F39" s="15">
        <f t="shared" si="4"/>
        <v>20.7</v>
      </c>
      <c r="H39" s="27"/>
      <c r="I39" s="27"/>
      <c r="K39" s="32"/>
    </row>
    <row r="40" spans="2:11" s="3" customFormat="1" ht="17" x14ac:dyDescent="0.2">
      <c r="B40" s="12" t="s">
        <v>16</v>
      </c>
      <c r="C40" s="5" t="s">
        <v>7</v>
      </c>
      <c r="D40" s="5">
        <v>1</v>
      </c>
      <c r="E40" s="5">
        <v>23</v>
      </c>
      <c r="F40" s="15">
        <f t="shared" si="4"/>
        <v>20.7</v>
      </c>
      <c r="H40" s="27"/>
      <c r="I40" s="27"/>
      <c r="K40" s="32"/>
    </row>
    <row r="41" spans="2:11" s="3" customFormat="1" ht="17" x14ac:dyDescent="0.2">
      <c r="B41" s="12" t="s">
        <v>17</v>
      </c>
      <c r="C41" s="5" t="s">
        <v>7</v>
      </c>
      <c r="D41" s="5">
        <v>1</v>
      </c>
      <c r="E41" s="5">
        <v>23</v>
      </c>
      <c r="F41" s="15">
        <f t="shared" si="4"/>
        <v>20.7</v>
      </c>
      <c r="H41" s="27"/>
      <c r="I41" s="27"/>
      <c r="K41" s="32"/>
    </row>
    <row r="42" spans="2:11" s="3" customFormat="1" ht="17" x14ac:dyDescent="0.2">
      <c r="B42" s="12" t="s">
        <v>18</v>
      </c>
      <c r="C42" s="5" t="s">
        <v>7</v>
      </c>
      <c r="D42" s="5">
        <v>1</v>
      </c>
      <c r="E42" s="5">
        <v>15</v>
      </c>
      <c r="F42" s="15">
        <f t="shared" si="4"/>
        <v>13.5</v>
      </c>
      <c r="H42" s="27"/>
      <c r="I42" s="27"/>
      <c r="K42" s="32"/>
    </row>
    <row r="43" spans="2:11" s="3" customFormat="1" ht="17" x14ac:dyDescent="0.2">
      <c r="B43" s="12" t="s">
        <v>19</v>
      </c>
      <c r="C43" s="5" t="s">
        <v>7</v>
      </c>
      <c r="D43" s="5">
        <v>1</v>
      </c>
      <c r="E43" s="5">
        <v>15</v>
      </c>
      <c r="F43" s="15">
        <f t="shared" si="4"/>
        <v>13.5</v>
      </c>
      <c r="H43" s="27"/>
      <c r="I43" s="27"/>
      <c r="K43" s="32"/>
    </row>
    <row r="44" spans="2:11" s="3" customFormat="1" ht="17" x14ac:dyDescent="0.2">
      <c r="B44" s="12" t="s">
        <v>20</v>
      </c>
      <c r="C44" s="5" t="s">
        <v>7</v>
      </c>
      <c r="D44" s="5">
        <v>1</v>
      </c>
      <c r="E44" s="5">
        <v>25</v>
      </c>
      <c r="F44" s="15">
        <f t="shared" si="4"/>
        <v>22.5</v>
      </c>
      <c r="H44" s="27"/>
      <c r="I44" s="27"/>
      <c r="K44" s="32"/>
    </row>
    <row r="45" spans="2:11" ht="6" customHeight="1" x14ac:dyDescent="0.2">
      <c r="B45" s="10"/>
      <c r="C45" s="10"/>
      <c r="D45" s="10"/>
      <c r="E45" s="10"/>
      <c r="F45" s="11"/>
    </row>
    <row r="46" spans="2:11" ht="21" customHeight="1" x14ac:dyDescent="0.2">
      <c r="B46" s="45" t="s">
        <v>33</v>
      </c>
      <c r="C46" s="45"/>
      <c r="D46" s="45"/>
      <c r="E46" s="45"/>
      <c r="F46" s="45"/>
    </row>
  </sheetData>
  <mergeCells count="3">
    <mergeCell ref="B2:F2"/>
    <mergeCell ref="B4:D4"/>
    <mergeCell ref="B46:F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6AB72-354E-2941-BB8E-3C5418F68F1B}">
  <dimension ref="B1:F24"/>
  <sheetViews>
    <sheetView zoomScale="81" workbookViewId="0">
      <selection activeCell="E35" sqref="E35"/>
    </sheetView>
  </sheetViews>
  <sheetFormatPr baseColWidth="10" defaultColWidth="11" defaultRowHeight="16" x14ac:dyDescent="0.2"/>
  <cols>
    <col min="1" max="1" width="11" style="1"/>
    <col min="2" max="2" width="17.6640625" style="1" bestFit="1" customWidth="1"/>
    <col min="3" max="3" width="15.83203125" style="1" customWidth="1"/>
    <col min="4" max="5" width="16.5" style="1" customWidth="1"/>
    <col min="6" max="6" width="18" style="1" bestFit="1" customWidth="1"/>
    <col min="7" max="16384" width="11" style="1"/>
  </cols>
  <sheetData>
    <row r="1" spans="2:6" ht="17" thickBot="1" x14ac:dyDescent="0.25"/>
    <row r="2" spans="2:6" ht="17" thickBot="1" x14ac:dyDescent="0.25">
      <c r="B2" s="46" t="s">
        <v>75</v>
      </c>
      <c r="C2" s="47"/>
      <c r="D2" s="47"/>
      <c r="E2" s="47"/>
      <c r="F2" s="47"/>
    </row>
    <row r="3" spans="2:6" s="35" customFormat="1" ht="34" x14ac:dyDescent="0.2">
      <c r="B3" s="34"/>
      <c r="C3" s="34" t="s">
        <v>55</v>
      </c>
      <c r="D3" s="34" t="s">
        <v>56</v>
      </c>
      <c r="E3" s="34" t="s">
        <v>57</v>
      </c>
      <c r="F3" s="34" t="s">
        <v>58</v>
      </c>
    </row>
    <row r="4" spans="2:6" x14ac:dyDescent="0.2">
      <c r="B4" s="36" t="s">
        <v>59</v>
      </c>
      <c r="C4" s="36">
        <v>197</v>
      </c>
      <c r="D4" s="36">
        <v>178</v>
      </c>
      <c r="E4" s="36">
        <v>138</v>
      </c>
      <c r="F4" s="36">
        <v>124</v>
      </c>
    </row>
    <row r="5" spans="2:6" x14ac:dyDescent="0.2">
      <c r="B5" s="36" t="s">
        <v>60</v>
      </c>
      <c r="C5" s="36">
        <v>204</v>
      </c>
      <c r="D5" s="36">
        <v>183</v>
      </c>
      <c r="E5" s="36">
        <v>149</v>
      </c>
      <c r="F5" s="36">
        <v>134</v>
      </c>
    </row>
    <row r="6" spans="2:6" x14ac:dyDescent="0.2">
      <c r="B6" s="36" t="s">
        <v>61</v>
      </c>
      <c r="C6" s="36">
        <v>140</v>
      </c>
      <c r="D6" s="36">
        <v>126</v>
      </c>
      <c r="E6" s="36">
        <v>50</v>
      </c>
      <c r="F6" s="36">
        <v>45</v>
      </c>
    </row>
    <row r="7" spans="2:6" x14ac:dyDescent="0.2">
      <c r="B7" s="36" t="s">
        <v>62</v>
      </c>
      <c r="C7" s="36">
        <v>89</v>
      </c>
      <c r="D7" s="36">
        <v>80</v>
      </c>
      <c r="E7" s="36"/>
      <c r="F7" s="36">
        <f t="shared" ref="F7" si="0">+E7-(E7*10%)</f>
        <v>0</v>
      </c>
    </row>
    <row r="8" spans="2:6" x14ac:dyDescent="0.2">
      <c r="B8" s="36" t="s">
        <v>63</v>
      </c>
      <c r="C8" s="36">
        <v>770</v>
      </c>
      <c r="D8" s="36">
        <v>693</v>
      </c>
      <c r="E8" s="36">
        <v>662</v>
      </c>
      <c r="F8" s="36">
        <v>596</v>
      </c>
    </row>
    <row r="9" spans="2:6" x14ac:dyDescent="0.2">
      <c r="B9" s="36" t="s">
        <v>64</v>
      </c>
      <c r="C9" s="36">
        <v>685</v>
      </c>
      <c r="D9" s="36">
        <v>616</v>
      </c>
      <c r="E9" s="36">
        <v>588</v>
      </c>
      <c r="F9" s="36">
        <v>529</v>
      </c>
    </row>
    <row r="10" spans="2:6" x14ac:dyDescent="0.2">
      <c r="B10" s="36" t="s">
        <v>76</v>
      </c>
      <c r="C10" s="36">
        <v>526</v>
      </c>
      <c r="D10" s="36">
        <v>474</v>
      </c>
      <c r="E10" s="36">
        <v>480</v>
      </c>
      <c r="F10" s="36">
        <v>432</v>
      </c>
    </row>
    <row r="11" spans="2:6" x14ac:dyDescent="0.2">
      <c r="B11" s="36" t="s">
        <v>65</v>
      </c>
      <c r="C11" s="36">
        <v>884</v>
      </c>
      <c r="D11" s="36">
        <v>796</v>
      </c>
      <c r="E11" s="36">
        <v>720</v>
      </c>
      <c r="F11" s="36">
        <v>648</v>
      </c>
    </row>
    <row r="12" spans="2:6" x14ac:dyDescent="0.2">
      <c r="B12" s="36" t="s">
        <v>66</v>
      </c>
      <c r="C12" s="36">
        <v>436</v>
      </c>
      <c r="D12" s="36">
        <v>392</v>
      </c>
      <c r="E12" s="36">
        <v>354</v>
      </c>
      <c r="F12" s="36">
        <v>319</v>
      </c>
    </row>
    <row r="13" spans="2:6" x14ac:dyDescent="0.2">
      <c r="B13" s="36" t="s">
        <v>67</v>
      </c>
      <c r="C13" s="36">
        <v>558</v>
      </c>
      <c r="D13" s="36">
        <v>503</v>
      </c>
      <c r="E13" s="36">
        <v>480</v>
      </c>
      <c r="F13" s="36">
        <v>432</v>
      </c>
    </row>
    <row r="14" spans="2:6" x14ac:dyDescent="0.2">
      <c r="B14" s="36" t="s">
        <v>68</v>
      </c>
      <c r="C14" s="36">
        <v>668</v>
      </c>
      <c r="D14" s="36">
        <v>602</v>
      </c>
      <c r="E14" s="36">
        <v>605</v>
      </c>
      <c r="F14" s="36">
        <v>545</v>
      </c>
    </row>
    <row r="15" spans="2:6" x14ac:dyDescent="0.2">
      <c r="B15" s="36" t="s">
        <v>69</v>
      </c>
      <c r="C15" s="36">
        <v>526</v>
      </c>
      <c r="D15" s="36">
        <v>474</v>
      </c>
      <c r="E15" s="36">
        <v>480</v>
      </c>
      <c r="F15" s="36">
        <v>432</v>
      </c>
    </row>
    <row r="16" spans="2:6" x14ac:dyDescent="0.2">
      <c r="B16" s="36" t="s">
        <v>70</v>
      </c>
      <c r="C16" s="36">
        <v>464</v>
      </c>
      <c r="D16" s="36">
        <v>418</v>
      </c>
      <c r="E16" s="36">
        <v>382</v>
      </c>
      <c r="F16" s="36">
        <v>344</v>
      </c>
    </row>
    <row r="17" spans="2:6" x14ac:dyDescent="0.2">
      <c r="B17" s="36" t="s">
        <v>71</v>
      </c>
      <c r="C17" s="36">
        <v>464</v>
      </c>
      <c r="D17" s="36">
        <v>418</v>
      </c>
      <c r="E17" s="36">
        <v>382</v>
      </c>
      <c r="F17" s="36">
        <v>344</v>
      </c>
    </row>
    <row r="18" spans="2:6" x14ac:dyDescent="0.2">
      <c r="B18" s="36" t="s">
        <v>72</v>
      </c>
      <c r="C18" s="36">
        <v>464</v>
      </c>
      <c r="D18" s="36">
        <v>418</v>
      </c>
      <c r="E18" s="36">
        <v>382</v>
      </c>
      <c r="F18" s="36">
        <v>344</v>
      </c>
    </row>
    <row r="19" spans="2:6" x14ac:dyDescent="0.2">
      <c r="B19" s="36" t="s">
        <v>73</v>
      </c>
      <c r="C19" s="36">
        <v>464</v>
      </c>
      <c r="D19" s="36">
        <v>418</v>
      </c>
      <c r="E19" s="36">
        <v>382</v>
      </c>
      <c r="F19" s="36">
        <v>344</v>
      </c>
    </row>
    <row r="20" spans="2:6" x14ac:dyDescent="0.2">
      <c r="B20" s="36" t="s">
        <v>74</v>
      </c>
      <c r="C20" s="36"/>
      <c r="D20" s="36"/>
      <c r="E20" s="36">
        <v>209</v>
      </c>
      <c r="F20" s="36">
        <v>188</v>
      </c>
    </row>
    <row r="23" spans="2:6" x14ac:dyDescent="0.2">
      <c r="D23" s="1">
        <f>+C8*10%</f>
        <v>77</v>
      </c>
    </row>
    <row r="24" spans="2:6" x14ac:dyDescent="0.2">
      <c r="D24" s="1">
        <f>+C8-D23</f>
        <v>693</v>
      </c>
    </row>
  </sheetData>
  <mergeCells count="1">
    <mergeCell ref="B2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CARTAGENA PESOS</vt:lpstr>
      <vt:lpstr>CARTAGENA DOLARES</vt:lpstr>
      <vt:lpstr>ISLA PESOS</vt:lpstr>
      <vt:lpstr>ISLA DOLARES</vt:lpstr>
      <vt:lpstr>ROVERD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Andrés Obregón</cp:lastModifiedBy>
  <cp:lastPrinted>2022-07-13T21:31:53Z</cp:lastPrinted>
  <dcterms:created xsi:type="dcterms:W3CDTF">2021-10-11T21:31:28Z</dcterms:created>
  <dcterms:modified xsi:type="dcterms:W3CDTF">2026-05-05T13:21:03Z</dcterms:modified>
</cp:coreProperties>
</file>